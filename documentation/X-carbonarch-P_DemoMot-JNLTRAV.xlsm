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15750" windowHeight="1198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JNLTRAV!$A$1:$D$41</definedName>
    <definedName name="_xlnm.Print_Area" localSheetId="0">Donnees!$A$1:$G$54</definedName>
    <definedName name="_xlnm.Print_Area" localSheetId="6">JNLTRAV!$A$1:$D$210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0" i="158" l="1"/>
  <c r="B209" i="158" l="1"/>
  <c r="B190" i="158"/>
  <c r="B171" i="158"/>
  <c r="B89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<sst xmlns="http://schemas.openxmlformats.org/spreadsheetml/2006/main" count="416" uniqueCount="178">
  <si>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</si>
  <si>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</si>
  <si>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</si>
  <si>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</si>
  <si>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</si>
  <si>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</si>
  <si>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</si>
  <si>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</si>
  <si>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</si>
  <si>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</si>
  <si>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</si>
  <si>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</si>
  <si>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</si>
  <si>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</si>
  <si>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</si>
  <si>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</si>
  <si>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</si>
  <si>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</si>
  <si>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</si>
  <si>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</si>
  <si>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</si>
  <si>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</si>
  <si>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</si>
  <si>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</si>
  <si>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</si>
  <si>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</si>
  <si>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</si>
  <si>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</si>
  <si>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</si>
  <si>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</si>
  <si>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</si>
  <si>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</si>
  <si>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</si>
  <si>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</si>
  <si>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</si>
  <si>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</si>
  <si>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</si>
  <si>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</si>
  <si>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</si>
  <si>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</si>
  <si>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</si>
  <si>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</si>
  <si>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</si>
  <si>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</si>
  <si>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</si>
  <si>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</si>
  <si>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</si>
  <si>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</si>
  <si>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</si>
  <si>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</si>
  <si>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</si>
  <si>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</si>
  <si>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</si>
  <si>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</si>
  <si>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</si>
  <si>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</si>
  <si>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</si>
  <si>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</si>
  <si>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</si>
  <si>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</si>
  <si>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</si>
  <si>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</si>
  <si>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</si>
  <si>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</si>
  <si>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</si>
  <si>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</si>
  <si>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</si>
  <si>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</si>
  <si>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</si>
  <si>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</si>
  <si>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</si>
  <si>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</si>
  <si>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</si>
  <si>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</si>
  <si>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</si>
  <si>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</si>
  <si>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</si>
  <si>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</si>
  <si>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</si>
  <si>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</si>
  <si>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</si>
  <si>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</si>
  <si>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</si>
  <si>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</si>
  <si>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</si>
  <si>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</si>
  <si>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</si>
  <si>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</si>
  <si>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</si>
  <si>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</si>
  <si>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</si>
  <si>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</si>
  <si>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</si>
  <si>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</si>
  <si>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</si>
  <si>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</si>
  <si>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</si>
  <si>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</si>
  <si>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</si>
  <si>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</si>
  <si>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</si>
  <si>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</si>
  <si>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</si>
  <si>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</si>
  <si>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</si>
  <si>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</si>
  <si>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</si>
  <si>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</si>
  <si>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</si>
  <si>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</si>
  <si>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</si>
  <si>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</si>
  <si>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</si>
  <si>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</si>
  <si>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</si>
  <si>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</si>
  <si>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</si>
  <si>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</si>
  <si>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</si>
  <si>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</si>
  <si>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</si>
  <si>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</si>
  <si>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</si>
  <si>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</si>
  <si>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</si>
  <si>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</si>
  <si>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</si>
  <si>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</si>
  <si>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</si>
  <si>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</si>
  <si>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</si>
  <si>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</si>
  <si>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</si>
  <si>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Création de la page html pour rediriger sur la page d'accueil</t>
  </si>
  <si>
    <t>Page de redirection :
"site\index.html"</t>
  </si>
  <si>
    <t>GitHub</t>
  </si>
  <si>
    <t>► Discussion sur la façon dont est géré GitHub</t>
  </si>
  <si>
    <t>Nettoyage</t>
  </si>
  <si>
    <t>► Nettoyage de la salle</t>
  </si>
  <si>
    <t>Solution :
http://www.commentcamarche.net/forum/affich-26077023-msvcr100-dll-wamp-server
https://www.microsoft.com/fr-FR/download/details.aspx?id=30679</t>
  </si>
  <si>
    <t>Scéance de classe</t>
  </si>
  <si>
    <t>► Création des pages en semantic ui :
→ Accueil
→ Liste de tous les exercices
► Création des pages php qui sont inclues sur toutes les pages :
→ menu.php
→ footer.php
→ header.php</t>
  </si>
  <si>
    <t>Pages incluent :
"site\ressources\lib"
Pages du site :
"site\src\php"</t>
  </si>
  <si>
    <t>► Ajout des css de semantic ui :
→ Container
→ Menu
→ Segment
→ Form
► Création d'un style css pour ajuster le site</t>
  </si>
  <si>
    <t>Tous les css :
"site\ressources\css"</t>
  </si>
  <si>
    <t>► Test pour vérifier le fonctionnement de semantic ui et corriger les erreurs
► Utilisation de Firebug pour vérifie le fonctionnement de semantic ui</t>
  </si>
  <si>
    <t>► Création de la page A propos avec les informations pour me contacter:
→ Difficulté à utilisé semantic ui
► Ajout d'une table en semantic ui sur la page Liste de tous les exercices
► Modification sur la structure de chaque pages du site et celles qui sont inclut
► Modification des liens avec les fichiers css</t>
  </si>
  <si>
    <t xml:space="preserve">Pages du site :
"site\src\php"
Pages incluent :
"site\ressources\lib"
</t>
  </si>
  <si>
    <t>► Ajout des css de semantic ui : 
→ Semantic
→ Input
► Modification du css de style.css
► Modification sur la structure du dossier contenant les css</t>
  </si>
  <si>
    <t>► Test du site sur :
→ Le fonctionnement de semantic ui en modifiant le css ou en utilisant Firebug</t>
  </si>
  <si>
    <t>► Séance des enseignants dans la salle de classe</t>
  </si>
  <si>
    <t>► Tentative de résolution du problème :
→ Git Kraken ne fonctionne plus, résolution du problème échoué, cause : inconnue
→ Demande d'aide à Eduardo pour utiliser Git Kraken, résultat : erreur survenu lors du push, cause : inconnue
→ Recherche sur internet sur l'utilisation de Git Kraken, résultat : identique à celui rencontré lors du push</t>
  </si>
  <si>
    <t>► Tentative d'utilisation de GitHub :
→ Demande d'aide à Nolan et Tamour sur l'utilisation de GitHub, résultat : erreur survenu lors de la copie des dossiers sur GitHub, cause : inconnue à ce moment
→ Essaie sur Google Chrome, résultat : réussite, conclusion : GitHub ne fonctionne pas avec Firefox
→ Backup du projet sur GitHub, réussi</t>
  </si>
  <si>
    <t>► Modification sur les entités dans le MCD :
→ Ajout d'attributs dans l'entité "exercise"
► Création des tables dans le MLD :
→ t_exercise
→ t_member, cette table peut être modifier en cas de besoin pour l'utiliser avec l'AD</t>
  </si>
  <si>
    <t>► Ajout des services AD LDS sur la VM serveur
► Ajout d'un dossier de partage réseau
► Ajout de Easy PHP sur la VM client :
→ Problème rencontré lors du lancement de l'application, le fichier "msvcr110.dll" était manquant, il a été ajouté après quelque recherche sous "C:\Windows\System32"
→ Impossible d'utiliser Easy PHP pour ouvrir le site avec Internet Explorer
► Ajout de Mozilla Firefox sur la VM client</t>
  </si>
  <si>
    <t>Séance de classe</t>
  </si>
  <si>
    <t>► Séance de classe</t>
  </si>
  <si>
    <t>► Modification du style.css pour les couleurs et les tailles des objets du sites
► Ajout et modification du css pour les icônes :
→ Modification dans "icon.css" des chemins pour les icônes</t>
  </si>
  <si>
    <t>Tous les css :
"site\ressources\css"
Chemin pour les icônes :
Tous les css :
"site\ressources\assets\fonts"</t>
  </si>
  <si>
    <t>► Amélioration de la page où sont affichés les exercices publiques
► Ajout des requêtes SQL pour afficher les exercices publiques
► Création de la page détail avec les fonctions et le requêtes SQL nécessaire</t>
  </si>
  <si>
    <t>► Recherche d'un moyen pour utiliser les utilisateurs de l'AD comme authentification sur le site
► Comment utiliser AD LDS
→ AD LDS est trop flou
► Recherche du problème concernant Easy PHP avec "msvcr110.dll"</t>
  </si>
  <si>
    <t>► Création de la base de données "db_demomot"
► Ajout de valeurs dans la table "t_exercise"</t>
  </si>
  <si>
    <t>MCD :
X-carbonarch-P_DemoMot-MLD.vsdx
MLD :
X-carbonarch-P_DemoMot-MCD.vsdx</t>
  </si>
  <si>
    <t>► Backup avec GitHub, plusieurs backups en une journée</t>
  </si>
  <si>
    <t>► Travaille lent à cause du manque de sommeil</t>
  </si>
  <si>
    <t>► Recherche sur l'utilisation des graphiques avec amcharts :
→ Recherche pour l'installer, réussi
→ Recherche pour l'utiliser avec la base de données, échec
→ Configuration graphique depuis le site de amcharts
→ Utilisation impossible, raison : les VMs sont configurer pour être en réseau interne
► Recherche d'un moyen pour utiliser des graphiques sans amcharts
► Téléchargement de pChart, nécessaire pour faire des graphiques en php</t>
  </si>
  <si>
    <t>Site de amcharts :
"https://www.amcharts.com/"
Lien pour créer un graphique en ligne avec amcharts :
"https://live.amcharts.com/new/edit/"
pChart :
"http://www.pchart.net/download"
Lien pour faire des graphiques en php avec pChart :
"http://www.numelion.com/creer-un-graphique-en-php.html"</t>
  </si>
  <si>
    <t>► Tentative de création du graphique en utilisant du JavaScript, echec</t>
  </si>
  <si>
    <t>JavaScript :
"site\src\js"</t>
  </si>
  <si>
    <t>► Modification de l'interface de la page détail
► Ajout de valeur et modification de la page où sont affichés tous les exercices publiques
► Modification du footer
► Ajout d'un graphique dans la page détail
► Ajout de commentaires dans le code
► Création de la page d'ajout d'un exercice, incomplète
► Vérification des fonctionnalités du site</t>
  </si>
  <si>
    <t>► Modification de la base de données pour la rendre plus précise, ajout d'attributs comme :
→ Recherche d'attributs pour rendre les informations d'un exercice plus précise, car certains exercices n'auraient pas pu être ajoutés
→ exeNbrSerie, le nombre de série (fois) que la personne effectue l'exercice
► Backup de la base de données</t>
  </si>
  <si>
    <t>Backup de la base de données :
"D:\DATA\carbonarch\P_DemoMot\db"</t>
  </si>
  <si>
    <t>Tout le code php :
"site\src\php"</t>
  </si>
  <si>
    <t>► Absence, cause : malade</t>
  </si>
  <si>
    <t>Graphique</t>
  </si>
  <si>
    <t>► Recherche d'un moyen d'utiliser pChart :
→ Test en modifiant des fichiers ou des valeurs
→ Abandon, trop complexe
► Recherche pour ajouter un graphique mCharts sur le site, réussit
► Recherche d'un moyen pour utiliser les données de la base de données avec le graphique</t>
  </si>
  <si>
    <t>► Scéance de classe</t>
  </si>
  <si>
    <t>► Discussion sur les personnes promus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</si>
</sst>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sp macro="" textlink="">
      <xdr:nvSpPr>
        <xdr:cNvPr id="15362" name="btnCreateDiagram" hidden="1">
          <a:extLst>
            <a:ext uri="{63B3BB69-23CF-44E3-9099-C40C66FF867C}">
              <a14:compatExt xmlns:a14="http://schemas.microsoft.com/office/drawing/2010/main" spid="_x0000_s1536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sp macro="" textlink="">
      <xdr:nvSpPr>
        <xdr:cNvPr id="15364" name="btnCreatePlanning" hidden="1">
          <a:extLst>
            <a:ext uri="{63B3BB69-23CF-44E3-9099-C40C66FF867C}">
              <a14:compatExt xmlns:a14="http://schemas.microsoft.com/office/drawing/2010/main" spid="_x0000_s1536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sp macro="" textlink="">
      <xdr:nvSpPr>
        <xdr:cNvPr id="15365" name="btnCreateWorkSheet" hidden="1">
          <a:extLst>
            <a:ext uri="{63B3BB69-23CF-44E3-9099-C40C66FF867C}">
              <a14:compatExt xmlns:a14="http://schemas.microsoft.com/office/drawing/2010/main" spid="_x0000_s153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pic>
      <xdr:nvPicPr>
        <xdr:cNvPr id="2" name="btnCreateDiagram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323850"/>
          <a:ext cx="16097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pic>
      <xdr:nvPicPr>
        <xdr:cNvPr id="3" name="btnCreatePlannin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085850"/>
          <a:ext cx="162877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pic>
      <xdr:nvPicPr>
        <xdr:cNvPr id="4" name="btnCreateWorkShee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857375"/>
          <a:ext cx="16478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18438" name="btnImportPlanification" hidden="1">
          <a:extLst>
            <a:ext uri="{63B3BB69-23CF-44E3-9099-C40C66FF867C}">
              <a14:compatExt xmlns:a14="http://schemas.microsoft.com/office/drawing/2010/main" spid="_x0000_s184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38913" name="btnImportRealisation" hidden="1">
          <a:extLst>
            <a:ext uri="{63B3BB69-23CF-44E3-9099-C40C66FF867C}">
              <a14:compatExt xmlns:a14="http://schemas.microsoft.com/office/drawing/2010/main" spid="_x0000_s38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4033" name="btnImportPlanification" hidden="1">
          <a:extLst>
            <a:ext uri="{63B3BB69-23CF-44E3-9099-C40C66FF867C}">
              <a14:compatExt xmlns:a14="http://schemas.microsoft.com/office/drawing/2010/main" spid="_x0000_s440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7105" name="btnImportRealisation" hidden="1">
          <a:extLst>
            <a:ext uri="{63B3BB69-23CF-44E3-9099-C40C66FF867C}">
              <a14:compatExt xmlns:a14="http://schemas.microsoft.com/office/drawing/2010/main" spid="_x0000_s471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X-carbonarch-P_DemoMot-cahier_des_charges.docx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X-carbonarch-P_DemoMot-doc_VM.docx" TargetMode="External"/><Relationship Id="rId1" Type="http://schemas.openxmlformats.org/officeDocument/2006/relationships/hyperlink" Target="X-carbonarch-P_DemoMot-cahier_des_charges.docx" TargetMode="External"/><Relationship Id="rId6" Type="http://schemas.openxmlformats.org/officeDocument/2006/relationships/hyperlink" Target="X-carbonarch-P_DemoMot-doc_VM.docx" TargetMode="External"/><Relationship Id="rId5" Type="http://schemas.openxmlformats.org/officeDocument/2006/relationships/hyperlink" Target="X-carbonarch-P_DemoMot-MCD.vsdx" TargetMode="External"/><Relationship Id="rId4" Type="http://schemas.openxmlformats.org/officeDocument/2006/relationships/hyperlink" Target="X-carbonarch-P_DemoMot-doc_VM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73"/>
  <sheetViews>
    <sheetView topLeftCell="C13" zoomScaleNormal="100" workbookViewId="0">
      <selection activeCell="C41" sqref="C4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5" t="s">
        <v>19</v>
      </c>
      <c r="C19" s="10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135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137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140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174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7" t="s">
        <v>21</v>
      </c>
      <c r="C3" s="30">
        <v>0</v>
      </c>
    </row>
    <row r="4" spans="1:4" ht="19.5" customHeight="1" x14ac:dyDescent="0.2">
      <c r="A4" s="34"/>
      <c r="B4" s="10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70" zoomScale="115" zoomScaleNormal="100" zoomScaleSheetLayoutView="115" workbookViewId="0">
      <selection activeCell="A98" sqref="A98:D98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I211"/>
  <sheetViews>
    <sheetView tabSelected="1" view="pageBreakPreview" topLeftCell="A83" zoomScale="115" zoomScaleNormal="100" zoomScaleSheetLayoutView="115" workbookViewId="0">
      <selection activeCell="C99" sqref="C99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141</v>
      </c>
      <c r="D22" s="80" t="s">
        <v>142</v>
      </c>
    </row>
    <row r="23" spans="1:4" s="81" customFormat="1" ht="94.5" x14ac:dyDescent="0.2">
      <c r="A23" s="79" t="s">
        <v>33</v>
      </c>
      <c r="B23" s="79">
        <v>3</v>
      </c>
      <c r="C23" s="80" t="s">
        <v>143</v>
      </c>
      <c r="D23" s="80" t="s">
        <v>144</v>
      </c>
    </row>
    <row r="24" spans="1:4" s="81" customFormat="1" ht="27" x14ac:dyDescent="0.2">
      <c r="A24" s="79" t="s">
        <v>35</v>
      </c>
      <c r="B24" s="79">
        <v>1</v>
      </c>
      <c r="C24" s="80" t="s">
        <v>133</v>
      </c>
      <c r="D24" s="80" t="s">
        <v>134</v>
      </c>
    </row>
    <row r="25" spans="1:4" s="81" customFormat="1" ht="27" x14ac:dyDescent="0.2">
      <c r="A25" s="79" t="s">
        <v>72</v>
      </c>
      <c r="B25" s="79">
        <v>3</v>
      </c>
      <c r="C25" s="80" t="s">
        <v>145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146</v>
      </c>
      <c r="D29" s="80" t="s">
        <v>147</v>
      </c>
    </row>
    <row r="30" spans="1:4" s="81" customFormat="1" ht="81" x14ac:dyDescent="0.2">
      <c r="A30" s="79" t="s">
        <v>33</v>
      </c>
      <c r="B30" s="79">
        <v>4</v>
      </c>
      <c r="C30" s="80" t="s">
        <v>148</v>
      </c>
      <c r="D30" s="80" t="s">
        <v>144</v>
      </c>
    </row>
    <row r="31" spans="1:4" s="81" customFormat="1" ht="27" x14ac:dyDescent="0.2">
      <c r="A31" s="79" t="s">
        <v>72</v>
      </c>
      <c r="B31" s="79">
        <v>5</v>
      </c>
      <c r="C31" s="80" t="s">
        <v>149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150</v>
      </c>
      <c r="D32" s="80"/>
    </row>
    <row r="33" spans="1:9" s="81" customFormat="1" ht="81" x14ac:dyDescent="0.2">
      <c r="A33" s="79" t="s">
        <v>54</v>
      </c>
      <c r="B33" s="79">
        <v>4</v>
      </c>
      <c r="C33" s="80" t="s">
        <v>151</v>
      </c>
      <c r="D33" s="80"/>
    </row>
    <row r="34" spans="1:9" s="81" customFormat="1" ht="81" x14ac:dyDescent="0.2">
      <c r="A34" s="79" t="s">
        <v>135</v>
      </c>
      <c r="B34" s="79">
        <v>3</v>
      </c>
      <c r="C34" s="80" t="s">
        <v>152</v>
      </c>
      <c r="D34" s="80"/>
    </row>
    <row r="35" spans="1:9" s="81" customFormat="1" ht="27" x14ac:dyDescent="0.2">
      <c r="A35" s="79" t="s">
        <v>37</v>
      </c>
      <c r="B35" s="79">
        <v>1</v>
      </c>
      <c r="C35" s="80" t="s">
        <v>136</v>
      </c>
      <c r="D35" s="80"/>
    </row>
    <row r="36" spans="1:9" s="81" customFormat="1" ht="13.5" x14ac:dyDescent="0.2">
      <c r="A36" s="79" t="s">
        <v>28</v>
      </c>
      <c r="B36" s="79">
        <v>2</v>
      </c>
      <c r="C36" s="80" t="s">
        <v>50</v>
      </c>
      <c r="D36" s="80"/>
    </row>
    <row r="37" spans="1:9" s="81" customFormat="1" ht="13.5" x14ac:dyDescent="0.2">
      <c r="A37" s="79" t="s">
        <v>137</v>
      </c>
      <c r="B37" s="79">
        <v>1</v>
      </c>
      <c r="C37" s="80" t="s">
        <v>138</v>
      </c>
      <c r="D37" s="80"/>
    </row>
    <row r="38" spans="1:9" s="81" customFormat="1" ht="13.5" x14ac:dyDescent="0.2">
      <c r="A38" s="79"/>
      <c r="B38" s="79"/>
      <c r="C38" s="80"/>
      <c r="D38" s="80"/>
    </row>
    <row r="39" spans="1:9" s="81" customFormat="1" ht="14.25" thickBot="1" x14ac:dyDescent="0.25">
      <c r="A39" s="7"/>
      <c r="B39" s="7"/>
      <c r="C39" s="15"/>
      <c r="D39" s="15"/>
    </row>
    <row r="40" spans="1:9" ht="14.25" thickBot="1" x14ac:dyDescent="0.25">
      <c r="A40" s="76" t="s">
        <v>22</v>
      </c>
      <c r="B40" s="76">
        <f>SUM(B3:B39)</f>
        <v>90</v>
      </c>
      <c r="C40" s="85" t="s">
        <v>38</v>
      </c>
      <c r="D40" s="77"/>
    </row>
    <row r="41" spans="1:9" ht="15" thickBot="1" x14ac:dyDescent="0.35">
      <c r="A41" s="78"/>
      <c r="B41" s="78"/>
      <c r="C41" s="78"/>
      <c r="D41" s="78"/>
    </row>
    <row r="42" spans="1:9" ht="18.75" thickBot="1" x14ac:dyDescent="0.25">
      <c r="A42" s="71" t="s">
        <v>14</v>
      </c>
      <c r="B42" s="72">
        <v>2</v>
      </c>
      <c r="C42" s="73" t="s">
        <v>23</v>
      </c>
      <c r="D42" s="82">
        <v>42527</v>
      </c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5" thickBot="1" x14ac:dyDescent="0.25">
      <c r="A44" s="86"/>
      <c r="B44" s="87"/>
      <c r="C44" s="88" t="s">
        <v>74</v>
      </c>
      <c r="D44" s="89"/>
    </row>
    <row r="45" spans="1:9" ht="81" x14ac:dyDescent="0.2">
      <c r="A45" s="5" t="s">
        <v>30</v>
      </c>
      <c r="B45" s="6">
        <v>2</v>
      </c>
      <c r="C45" s="14" t="s">
        <v>153</v>
      </c>
      <c r="D45" s="104" t="s">
        <v>162</v>
      </c>
    </row>
    <row r="46" spans="1:9" ht="27" x14ac:dyDescent="0.2">
      <c r="A46" s="5" t="s">
        <v>34</v>
      </c>
      <c r="B46" s="6">
        <v>2</v>
      </c>
      <c r="C46" s="14" t="s">
        <v>161</v>
      </c>
      <c r="D46" s="14"/>
      <c r="E46" s="37"/>
      <c r="F46" s="37"/>
      <c r="G46" s="37"/>
      <c r="H46" s="37"/>
      <c r="I46" s="37"/>
    </row>
    <row r="47" spans="1:9" ht="108" x14ac:dyDescent="0.2">
      <c r="A47" s="5" t="s">
        <v>46</v>
      </c>
      <c r="B47" s="6">
        <v>3</v>
      </c>
      <c r="C47" s="14" t="s">
        <v>154</v>
      </c>
      <c r="D47" s="14" t="s">
        <v>129</v>
      </c>
      <c r="E47" s="37"/>
      <c r="F47" s="54"/>
      <c r="G47" s="55"/>
      <c r="H47" s="56"/>
      <c r="I47" s="37"/>
    </row>
    <row r="48" spans="1:9" ht="81" x14ac:dyDescent="0.2">
      <c r="A48" s="5" t="s">
        <v>77</v>
      </c>
      <c r="B48" s="6">
        <v>4</v>
      </c>
      <c r="C48" s="14" t="s">
        <v>160</v>
      </c>
      <c r="D48" s="14" t="s">
        <v>139</v>
      </c>
      <c r="E48" s="37"/>
      <c r="F48" s="57"/>
      <c r="G48" s="53"/>
      <c r="H48" s="53"/>
      <c r="I48" s="37"/>
    </row>
    <row r="49" spans="1:9" ht="81" x14ac:dyDescent="0.2">
      <c r="A49" s="5" t="s">
        <v>33</v>
      </c>
      <c r="B49" s="6">
        <v>3</v>
      </c>
      <c r="C49" s="14" t="s">
        <v>157</v>
      </c>
      <c r="D49" s="14" t="s">
        <v>158</v>
      </c>
      <c r="E49" s="37"/>
      <c r="F49" s="59"/>
      <c r="G49" s="60"/>
      <c r="H49" s="60"/>
      <c r="I49" s="37"/>
    </row>
    <row r="50" spans="1:9" ht="13.5" x14ac:dyDescent="0.2">
      <c r="A50" s="5" t="s">
        <v>155</v>
      </c>
      <c r="B50" s="6">
        <v>3</v>
      </c>
      <c r="C50" s="14" t="s">
        <v>156</v>
      </c>
      <c r="D50" s="14"/>
      <c r="E50" s="37"/>
      <c r="F50" s="59"/>
      <c r="G50" s="60"/>
      <c r="H50" s="60"/>
      <c r="I50" s="37"/>
    </row>
    <row r="51" spans="1:9" ht="40.5" x14ac:dyDescent="0.2">
      <c r="A51" s="5" t="s">
        <v>31</v>
      </c>
      <c r="B51" s="6">
        <v>5</v>
      </c>
      <c r="C51" s="14" t="s">
        <v>159</v>
      </c>
      <c r="D51" s="14"/>
      <c r="E51" s="37"/>
      <c r="F51" s="59"/>
      <c r="G51" s="60"/>
      <c r="H51" s="60"/>
      <c r="I51" s="37"/>
    </row>
    <row r="52" spans="1:9" ht="13.5" x14ac:dyDescent="0.2">
      <c r="A52" s="5" t="s">
        <v>72</v>
      </c>
      <c r="B52" s="6">
        <v>3</v>
      </c>
      <c r="C52" s="14" t="s">
        <v>101</v>
      </c>
      <c r="D52" s="14"/>
      <c r="E52" s="37"/>
      <c r="F52" s="59"/>
      <c r="G52" s="60"/>
      <c r="H52" s="60"/>
      <c r="I52" s="37"/>
    </row>
    <row r="53" spans="1:9" ht="13.5" x14ac:dyDescent="0.2">
      <c r="A53" s="79" t="s">
        <v>28</v>
      </c>
      <c r="B53" s="79">
        <v>2</v>
      </c>
      <c r="C53" s="80" t="s">
        <v>50</v>
      </c>
      <c r="D53" s="80"/>
      <c r="E53" s="37"/>
      <c r="F53" s="59"/>
      <c r="G53" s="60"/>
      <c r="H53" s="60"/>
      <c r="I53" s="37"/>
    </row>
    <row r="54" spans="1:9" ht="13.5" x14ac:dyDescent="0.2">
      <c r="A54" s="79"/>
      <c r="B54" s="79"/>
      <c r="C54" s="80"/>
      <c r="D54" s="80"/>
      <c r="E54" s="37"/>
      <c r="F54" s="61"/>
      <c r="G54" s="62"/>
      <c r="H54" s="62"/>
      <c r="I54" s="37"/>
    </row>
    <row r="55" spans="1:9" ht="14.25" thickBot="1" x14ac:dyDescent="0.25">
      <c r="A55" s="79"/>
      <c r="B55" s="79"/>
      <c r="C55" s="80"/>
      <c r="D55" s="80"/>
      <c r="E55" s="37"/>
      <c r="F55" s="61"/>
      <c r="G55" s="62"/>
      <c r="H55" s="62"/>
      <c r="I55" s="37"/>
    </row>
    <row r="56" spans="1:9" ht="15" thickBot="1" x14ac:dyDescent="0.25">
      <c r="A56" s="86"/>
      <c r="B56" s="87"/>
      <c r="C56" s="88" t="s">
        <v>98</v>
      </c>
      <c r="D56" s="89"/>
      <c r="E56" s="37"/>
      <c r="F56" s="61"/>
      <c r="G56" s="62"/>
      <c r="H56" s="62"/>
      <c r="I56" s="37"/>
    </row>
    <row r="57" spans="1:9" ht="13.5" x14ac:dyDescent="0.2">
      <c r="A57" s="79"/>
      <c r="B57" s="79"/>
      <c r="C57" s="80"/>
      <c r="D57" s="80"/>
      <c r="E57" s="37"/>
      <c r="F57" s="61"/>
      <c r="G57" s="62"/>
      <c r="H57" s="62"/>
      <c r="I57" s="37"/>
    </row>
    <row r="58" spans="1:9" ht="13.5" x14ac:dyDescent="0.2">
      <c r="A58" s="79"/>
      <c r="B58" s="79"/>
      <c r="C58" s="80"/>
      <c r="D58" s="80"/>
      <c r="E58" s="37"/>
      <c r="F58" s="61"/>
      <c r="G58" s="62"/>
      <c r="H58" s="62"/>
      <c r="I58" s="37"/>
    </row>
    <row r="59" spans="1:9" ht="13.5" x14ac:dyDescent="0.2">
      <c r="A59" s="79"/>
      <c r="B59" s="79"/>
      <c r="C59" s="80"/>
      <c r="D59" s="80"/>
      <c r="E59" s="37"/>
      <c r="F59" s="61"/>
      <c r="G59" s="62"/>
      <c r="H59" s="62"/>
      <c r="I59" s="37"/>
    </row>
    <row r="60" spans="1:9" ht="13.5" x14ac:dyDescent="0.2">
      <c r="A60" s="79"/>
      <c r="B60" s="79"/>
      <c r="C60" s="80"/>
      <c r="D60" s="80"/>
      <c r="E60" s="37"/>
      <c r="F60" s="61"/>
      <c r="G60" s="62"/>
      <c r="H60" s="62"/>
      <c r="I60" s="37"/>
    </row>
    <row r="61" spans="1:9" ht="13.5" x14ac:dyDescent="0.2">
      <c r="A61" s="79"/>
      <c r="B61" s="79"/>
      <c r="C61" s="80"/>
      <c r="D61" s="80"/>
      <c r="E61" s="37"/>
      <c r="F61" s="61"/>
      <c r="G61" s="62"/>
      <c r="H61" s="62"/>
      <c r="I61" s="37"/>
    </row>
    <row r="62" spans="1:9" ht="13.5" x14ac:dyDescent="0.2">
      <c r="A62" s="79"/>
      <c r="B62" s="79"/>
      <c r="C62" s="80"/>
      <c r="D62" s="80"/>
      <c r="E62" s="37"/>
      <c r="F62" s="61"/>
      <c r="G62" s="62"/>
      <c r="H62" s="62"/>
      <c r="I62" s="37"/>
    </row>
    <row r="63" spans="1:9" ht="13.5" x14ac:dyDescent="0.2">
      <c r="A63" s="79"/>
      <c r="B63" s="79"/>
      <c r="C63" s="80"/>
      <c r="D63" s="80"/>
      <c r="E63" s="37"/>
      <c r="F63" s="61"/>
      <c r="G63" s="62"/>
      <c r="H63" s="62"/>
      <c r="I63" s="37"/>
    </row>
    <row r="64" spans="1:9" ht="13.5" x14ac:dyDescent="0.2">
      <c r="A64" s="79"/>
      <c r="B64" s="79"/>
      <c r="C64" s="80"/>
      <c r="D64" s="80"/>
      <c r="E64" s="37"/>
      <c r="F64" s="61"/>
      <c r="G64" s="62"/>
      <c r="H64" s="62"/>
      <c r="I64" s="37"/>
    </row>
    <row r="65" spans="1:9" ht="13.5" x14ac:dyDescent="0.2">
      <c r="A65" s="79"/>
      <c r="B65" s="79"/>
      <c r="C65" s="80"/>
      <c r="D65" s="80"/>
      <c r="E65" s="37"/>
      <c r="F65" s="61"/>
      <c r="G65" s="62"/>
      <c r="H65" s="62"/>
      <c r="I65" s="37"/>
    </row>
    <row r="66" spans="1:9" ht="13.5" x14ac:dyDescent="0.2">
      <c r="A66" s="79"/>
      <c r="B66" s="79"/>
      <c r="C66" s="80"/>
      <c r="D66" s="80"/>
      <c r="E66" s="37"/>
      <c r="F66" s="61"/>
      <c r="G66" s="62"/>
      <c r="H66" s="62"/>
      <c r="I66" s="37"/>
    </row>
    <row r="67" spans="1:9" ht="13.5" x14ac:dyDescent="0.2">
      <c r="A67" s="79"/>
      <c r="B67" s="79"/>
      <c r="C67" s="80"/>
      <c r="D67" s="80"/>
      <c r="E67" s="37"/>
      <c r="F67" s="61"/>
      <c r="G67" s="62"/>
      <c r="H67" s="62"/>
      <c r="I67" s="37"/>
    </row>
    <row r="68" spans="1:9" ht="13.5" x14ac:dyDescent="0.2">
      <c r="A68" s="79"/>
      <c r="B68" s="79"/>
      <c r="C68" s="80"/>
      <c r="D68" s="80"/>
      <c r="E68" s="37"/>
      <c r="F68" s="61"/>
      <c r="G68" s="62"/>
      <c r="H68" s="62"/>
      <c r="I68" s="37"/>
    </row>
    <row r="69" spans="1:9" ht="13.5" x14ac:dyDescent="0.2">
      <c r="A69" s="79"/>
      <c r="B69" s="79"/>
      <c r="C69" s="80"/>
      <c r="D69" s="80"/>
      <c r="E69" s="37"/>
      <c r="F69" s="61"/>
      <c r="G69" s="62"/>
      <c r="H69" s="62"/>
      <c r="I69" s="37"/>
    </row>
    <row r="70" spans="1:9" ht="13.5" x14ac:dyDescent="0.2">
      <c r="A70" s="79"/>
      <c r="B70" s="79"/>
      <c r="C70" s="80"/>
      <c r="D70" s="80"/>
      <c r="E70" s="37"/>
      <c r="F70" s="61"/>
      <c r="G70" s="62"/>
      <c r="H70" s="62"/>
      <c r="I70" s="37"/>
    </row>
    <row r="71" spans="1:9" ht="13.5" x14ac:dyDescent="0.2">
      <c r="A71" s="79"/>
      <c r="B71" s="79"/>
      <c r="C71" s="80"/>
      <c r="D71" s="80"/>
      <c r="E71" s="37"/>
      <c r="F71" s="61"/>
      <c r="G71" s="62"/>
      <c r="H71" s="62"/>
      <c r="I71" s="37"/>
    </row>
    <row r="72" spans="1:9" ht="13.5" x14ac:dyDescent="0.2">
      <c r="A72" s="79"/>
      <c r="B72" s="79"/>
      <c r="C72" s="80"/>
      <c r="D72" s="80"/>
      <c r="E72" s="37"/>
      <c r="F72" s="61"/>
      <c r="G72" s="62"/>
      <c r="H72" s="62"/>
      <c r="I72" s="37"/>
    </row>
    <row r="73" spans="1:9" ht="13.5" x14ac:dyDescent="0.2">
      <c r="A73" s="79"/>
      <c r="B73" s="79"/>
      <c r="C73" s="80"/>
      <c r="D73" s="80"/>
      <c r="E73" s="37"/>
      <c r="F73" s="61"/>
      <c r="G73" s="62"/>
      <c r="H73" s="62"/>
      <c r="I73" s="37"/>
    </row>
    <row r="74" spans="1:9" ht="14.25" thickBot="1" x14ac:dyDescent="0.25">
      <c r="A74" s="79"/>
      <c r="B74" s="79"/>
      <c r="C74" s="80"/>
      <c r="D74" s="80"/>
      <c r="E74" s="37"/>
      <c r="F74" s="61"/>
      <c r="G74" s="62"/>
      <c r="H74" s="62"/>
      <c r="I74" s="37"/>
    </row>
    <row r="75" spans="1:9" ht="15" thickBot="1" x14ac:dyDescent="0.25">
      <c r="A75" s="86"/>
      <c r="B75" s="87"/>
      <c r="C75" s="88" t="s">
        <v>75</v>
      </c>
      <c r="D75" s="89"/>
      <c r="E75" s="37"/>
      <c r="F75" s="61"/>
      <c r="G75" s="62"/>
      <c r="H75" s="62"/>
      <c r="I75" s="37"/>
    </row>
    <row r="76" spans="1:9" ht="94.5" x14ac:dyDescent="0.2">
      <c r="A76" s="79" t="s">
        <v>31</v>
      </c>
      <c r="B76" s="79">
        <v>7</v>
      </c>
      <c r="C76" s="80" t="s">
        <v>169</v>
      </c>
      <c r="D76" s="80" t="s">
        <v>172</v>
      </c>
      <c r="E76" s="37"/>
      <c r="F76" s="61"/>
      <c r="G76" s="62"/>
      <c r="H76" s="62"/>
      <c r="I76" s="37"/>
    </row>
    <row r="77" spans="1:9" ht="94.5" x14ac:dyDescent="0.2">
      <c r="A77" s="79" t="s">
        <v>34</v>
      </c>
      <c r="B77" s="79">
        <v>3</v>
      </c>
      <c r="C77" s="80" t="s">
        <v>170</v>
      </c>
      <c r="D77" s="80" t="s">
        <v>171</v>
      </c>
      <c r="E77" s="37"/>
      <c r="F77" s="61"/>
      <c r="G77" s="62"/>
      <c r="H77" s="62"/>
      <c r="I77" s="37"/>
    </row>
    <row r="78" spans="1:9" ht="27" x14ac:dyDescent="0.2">
      <c r="A78" s="79" t="s">
        <v>32</v>
      </c>
      <c r="B78" s="79">
        <v>2</v>
      </c>
      <c r="C78" s="80" t="s">
        <v>167</v>
      </c>
      <c r="D78" s="80" t="s">
        <v>168</v>
      </c>
      <c r="E78" s="37"/>
      <c r="F78" s="61"/>
      <c r="G78" s="62"/>
      <c r="H78" s="62"/>
      <c r="I78" s="37"/>
    </row>
    <row r="79" spans="1:9" ht="189" x14ac:dyDescent="0.2">
      <c r="A79" s="79" t="s">
        <v>77</v>
      </c>
      <c r="B79" s="79">
        <v>8</v>
      </c>
      <c r="C79" s="80" t="s">
        <v>165</v>
      </c>
      <c r="D79" s="80" t="s">
        <v>166</v>
      </c>
      <c r="E79" s="37"/>
      <c r="F79" s="61"/>
      <c r="G79" s="62"/>
      <c r="H79" s="62"/>
      <c r="I79" s="37"/>
    </row>
    <row r="80" spans="1:9" ht="13.5" x14ac:dyDescent="0.2">
      <c r="A80" s="79" t="s">
        <v>21</v>
      </c>
      <c r="B80" s="79">
        <v>4</v>
      </c>
      <c r="C80" s="80" t="s">
        <v>164</v>
      </c>
      <c r="D80" s="80"/>
      <c r="E80" s="37"/>
      <c r="F80" s="61"/>
      <c r="G80" s="62"/>
      <c r="H80" s="62"/>
      <c r="I80" s="37"/>
    </row>
    <row r="81" spans="1:9" ht="13.5" x14ac:dyDescent="0.2">
      <c r="A81" s="79" t="s">
        <v>135</v>
      </c>
      <c r="B81" s="79">
        <v>1</v>
      </c>
      <c r="C81" s="80" t="s">
        <v>163</v>
      </c>
      <c r="D81" s="80"/>
      <c r="E81" s="37"/>
      <c r="F81" s="61"/>
      <c r="G81" s="62"/>
      <c r="H81" s="62"/>
      <c r="I81" s="37"/>
    </row>
    <row r="82" spans="1:9" ht="13.5" x14ac:dyDescent="0.2">
      <c r="A82" s="79" t="s">
        <v>28</v>
      </c>
      <c r="B82" s="79">
        <v>2</v>
      </c>
      <c r="C82" s="80" t="s">
        <v>50</v>
      </c>
      <c r="D82" s="80"/>
      <c r="E82" s="37"/>
      <c r="F82" s="61"/>
      <c r="G82" s="62"/>
      <c r="H82" s="62"/>
      <c r="I82" s="37"/>
    </row>
    <row r="83" spans="1:9" ht="13.5" x14ac:dyDescent="0.2">
      <c r="A83" s="79"/>
      <c r="B83" s="79"/>
      <c r="C83" s="80"/>
      <c r="D83" s="80"/>
      <c r="E83" s="37"/>
      <c r="F83" s="61"/>
      <c r="G83" s="62"/>
      <c r="H83" s="62"/>
      <c r="I83" s="37"/>
    </row>
    <row r="84" spans="1:9" ht="14.25" thickBot="1" x14ac:dyDescent="0.25">
      <c r="A84" s="79"/>
      <c r="B84" s="79"/>
      <c r="C84" s="80"/>
      <c r="D84" s="80"/>
      <c r="E84" s="37"/>
      <c r="F84" s="61"/>
      <c r="G84" s="62"/>
      <c r="H84" s="62"/>
      <c r="I84" s="37"/>
    </row>
    <row r="85" spans="1:9" ht="15" thickBot="1" x14ac:dyDescent="0.25">
      <c r="A85" s="86"/>
      <c r="B85" s="87"/>
      <c r="C85" s="88" t="s">
        <v>76</v>
      </c>
      <c r="D85" s="89"/>
      <c r="E85" s="37"/>
      <c r="F85" s="61"/>
      <c r="G85" s="62"/>
      <c r="H85" s="62"/>
      <c r="I85" s="37"/>
    </row>
    <row r="86" spans="1:9" ht="13.5" x14ac:dyDescent="0.2">
      <c r="A86" s="79" t="s">
        <v>21</v>
      </c>
      <c r="B86" s="79">
        <v>24</v>
      </c>
      <c r="C86" s="80" t="s">
        <v>173</v>
      </c>
      <c r="D86" s="80"/>
      <c r="E86" s="37"/>
      <c r="F86" s="61"/>
      <c r="G86" s="62"/>
      <c r="H86" s="62"/>
      <c r="I86" s="37"/>
    </row>
    <row r="87" spans="1:9" ht="13.5" x14ac:dyDescent="0.2">
      <c r="A87" s="79"/>
      <c r="B87" s="79"/>
      <c r="C87" s="80"/>
      <c r="D87" s="80"/>
      <c r="E87" s="37"/>
      <c r="F87" s="61"/>
      <c r="G87" s="62"/>
      <c r="H87" s="62"/>
      <c r="I87" s="37"/>
    </row>
    <row r="88" spans="1:9" ht="14.25" thickBot="1" x14ac:dyDescent="0.25">
      <c r="A88" s="79"/>
      <c r="B88" s="79"/>
      <c r="C88" s="80"/>
      <c r="D88" s="80"/>
      <c r="E88" s="37"/>
      <c r="F88" s="61"/>
      <c r="G88" s="62"/>
      <c r="H88" s="62"/>
      <c r="I88" s="37"/>
    </row>
    <row r="89" spans="1:9" ht="14.25" thickBot="1" x14ac:dyDescent="0.25">
      <c r="A89" s="76" t="s">
        <v>22</v>
      </c>
      <c r="B89" s="76">
        <f>SUM(B44:B88)</f>
        <v>78</v>
      </c>
      <c r="C89" s="85" t="s">
        <v>38</v>
      </c>
      <c r="D89" s="77"/>
      <c r="E89" s="37"/>
      <c r="F89" s="37"/>
      <c r="G89" s="37"/>
      <c r="H89" s="37"/>
      <c r="I89" s="37"/>
    </row>
    <row r="90" spans="1:9" ht="15" thickBot="1" x14ac:dyDescent="0.35">
      <c r="A90" s="78"/>
      <c r="B90" s="78"/>
      <c r="C90" s="78"/>
      <c r="D90" s="78"/>
      <c r="E90" s="37"/>
      <c r="F90" s="37"/>
      <c r="G90" s="37"/>
      <c r="H90" s="37"/>
      <c r="I90" s="37"/>
    </row>
    <row r="91" spans="1:9" ht="18.75" thickBot="1" x14ac:dyDescent="0.25">
      <c r="A91" s="71" t="s">
        <v>14</v>
      </c>
      <c r="B91" s="72">
        <v>3</v>
      </c>
      <c r="C91" s="73" t="s">
        <v>23</v>
      </c>
      <c r="D91" s="82">
        <v>42534</v>
      </c>
      <c r="E91" s="37"/>
      <c r="F91" s="37"/>
      <c r="G91" s="37"/>
      <c r="H91" s="37"/>
      <c r="I91" s="37"/>
    </row>
    <row r="92" spans="1:9" ht="27.75" thickBot="1" x14ac:dyDescent="0.25">
      <c r="A92" s="74" t="s">
        <v>3</v>
      </c>
      <c r="B92" s="75" t="s">
        <v>15</v>
      </c>
      <c r="C92" s="74" t="s">
        <v>7</v>
      </c>
      <c r="D92" s="74" t="s">
        <v>13</v>
      </c>
    </row>
    <row r="93" spans="1:9" ht="15" thickBot="1" x14ac:dyDescent="0.25">
      <c r="A93" s="86"/>
      <c r="B93" s="87"/>
      <c r="C93" s="88" t="s">
        <v>88</v>
      </c>
      <c r="D93" s="89"/>
    </row>
    <row r="94" spans="1:9" ht="94.5" x14ac:dyDescent="0.2">
      <c r="A94" s="5" t="s">
        <v>174</v>
      </c>
      <c r="B94" s="6">
        <v>22</v>
      </c>
      <c r="C94" s="14" t="s">
        <v>175</v>
      </c>
      <c r="D94" s="14"/>
    </row>
    <row r="95" spans="1:9" ht="13.5" x14ac:dyDescent="0.2">
      <c r="A95" s="5" t="s">
        <v>140</v>
      </c>
      <c r="B95" s="6">
        <v>3</v>
      </c>
      <c r="C95" s="14" t="s">
        <v>176</v>
      </c>
      <c r="D95" s="14"/>
    </row>
    <row r="96" spans="1:9" ht="27" x14ac:dyDescent="0.2">
      <c r="A96" s="5" t="s">
        <v>37</v>
      </c>
      <c r="B96" s="6">
        <v>1</v>
      </c>
      <c r="C96" s="14" t="s">
        <v>177</v>
      </c>
      <c r="D96" s="14"/>
    </row>
    <row r="97" spans="1:4" ht="13.5" x14ac:dyDescent="0.2">
      <c r="A97" s="5" t="s">
        <v>28</v>
      </c>
      <c r="B97" s="6">
        <v>1</v>
      </c>
      <c r="C97" s="14" t="s">
        <v>50</v>
      </c>
      <c r="D97" s="14"/>
    </row>
    <row r="98" spans="1:4" ht="13.5" x14ac:dyDescent="0.2">
      <c r="A98" s="5"/>
      <c r="B98" s="6"/>
      <c r="C98" s="14"/>
      <c r="D98" s="14"/>
    </row>
    <row r="99" spans="1:4" ht="14.25" thickBot="1" x14ac:dyDescent="0.25">
      <c r="A99" s="5"/>
      <c r="B99" s="6"/>
      <c r="C99" s="14"/>
      <c r="D99" s="14"/>
    </row>
    <row r="100" spans="1:4" ht="15" thickBot="1" x14ac:dyDescent="0.25">
      <c r="A100" s="86"/>
      <c r="B100" s="87"/>
      <c r="C100" s="88" t="s">
        <v>97</v>
      </c>
      <c r="D100" s="89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4.25" thickBot="1" x14ac:dyDescent="0.25">
      <c r="A119" s="5"/>
      <c r="B119" s="6"/>
      <c r="C119" s="14"/>
      <c r="D119" s="14"/>
    </row>
    <row r="120" spans="1:4" ht="15" thickBot="1" x14ac:dyDescent="0.25">
      <c r="A120" s="86"/>
      <c r="B120" s="87"/>
      <c r="C120" s="88" t="s">
        <v>102</v>
      </c>
      <c r="D120" s="89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4.25" thickBot="1" x14ac:dyDescent="0.25">
      <c r="A146" s="5"/>
      <c r="B146" s="6"/>
      <c r="C146" s="14"/>
      <c r="D146" s="14"/>
    </row>
    <row r="147" spans="1:4" ht="15" thickBot="1" x14ac:dyDescent="0.25">
      <c r="A147" s="86"/>
      <c r="B147" s="87"/>
      <c r="C147" s="88" t="s">
        <v>106</v>
      </c>
      <c r="D147" s="89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5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6"/>
      <c r="B167" s="6"/>
      <c r="C167" s="14"/>
      <c r="D167" s="14"/>
    </row>
    <row r="168" spans="1:4" ht="13.5" x14ac:dyDescent="0.2">
      <c r="A168" s="79"/>
      <c r="B168" s="79"/>
      <c r="C168" s="80"/>
      <c r="D168" s="80"/>
    </row>
    <row r="169" spans="1:4" ht="13.5" x14ac:dyDescent="0.2">
      <c r="A169" s="79"/>
      <c r="B169" s="79"/>
      <c r="C169" s="80"/>
      <c r="D169" s="80"/>
    </row>
    <row r="170" spans="1:4" ht="14.25" thickBot="1" x14ac:dyDescent="0.25">
      <c r="A170" s="7"/>
      <c r="B170" s="7"/>
      <c r="C170" s="15"/>
      <c r="D170" s="15"/>
    </row>
    <row r="171" spans="1:4" ht="14.25" thickBot="1" x14ac:dyDescent="0.25">
      <c r="A171" s="76" t="s">
        <v>22</v>
      </c>
      <c r="B171" s="76">
        <f>SUM(B93:B170)</f>
        <v>27</v>
      </c>
      <c r="C171" s="85" t="s">
        <v>38</v>
      </c>
      <c r="D171" s="77"/>
    </row>
    <row r="172" spans="1:4" ht="15" thickBot="1" x14ac:dyDescent="0.35">
      <c r="A172" s="78"/>
      <c r="B172" s="78"/>
      <c r="C172" s="78"/>
      <c r="D172" s="78"/>
    </row>
    <row r="173" spans="1:4" ht="18.75" thickBot="1" x14ac:dyDescent="0.25">
      <c r="A173" s="71" t="s">
        <v>14</v>
      </c>
      <c r="B173" s="72">
        <v>4</v>
      </c>
      <c r="C173" s="73" t="s">
        <v>23</v>
      </c>
      <c r="D173" s="82">
        <v>42541</v>
      </c>
    </row>
    <row r="174" spans="1:4" ht="27.75" thickBot="1" x14ac:dyDescent="0.25">
      <c r="A174" s="74" t="s">
        <v>3</v>
      </c>
      <c r="B174" s="75" t="s">
        <v>15</v>
      </c>
      <c r="C174" s="74" t="s">
        <v>7</v>
      </c>
      <c r="D174" s="74" t="s">
        <v>13</v>
      </c>
    </row>
    <row r="175" spans="1:4" ht="13.5" x14ac:dyDescent="0.2">
      <c r="A175" s="9"/>
      <c r="B175" s="8"/>
      <c r="C175" s="13"/>
      <c r="D175" s="13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5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6"/>
      <c r="B186" s="6"/>
      <c r="C186" s="14"/>
      <c r="D186" s="14"/>
    </row>
    <row r="187" spans="1:4" ht="13.5" x14ac:dyDescent="0.2">
      <c r="A187" s="79"/>
      <c r="B187" s="79"/>
      <c r="C187" s="80"/>
      <c r="D187" s="80"/>
    </row>
    <row r="188" spans="1:4" ht="13.5" x14ac:dyDescent="0.2">
      <c r="A188" s="79"/>
      <c r="B188" s="79"/>
      <c r="C188" s="80"/>
      <c r="D188" s="80"/>
    </row>
    <row r="189" spans="1:4" ht="14.25" thickBot="1" x14ac:dyDescent="0.25">
      <c r="A189" s="7"/>
      <c r="B189" s="7"/>
      <c r="C189" s="15"/>
      <c r="D189" s="15"/>
    </row>
    <row r="190" spans="1:4" ht="14.25" thickBot="1" x14ac:dyDescent="0.25">
      <c r="A190" s="76" t="s">
        <v>22</v>
      </c>
      <c r="B190" s="76">
        <f>SUM(B175:B189)</f>
        <v>0</v>
      </c>
      <c r="C190" s="85" t="s">
        <v>38</v>
      </c>
      <c r="D190" s="77"/>
    </row>
    <row r="191" spans="1:4" ht="15" thickBot="1" x14ac:dyDescent="0.35">
      <c r="A191" s="78"/>
      <c r="B191" s="78"/>
      <c r="C191" s="78"/>
      <c r="D191" s="78"/>
    </row>
    <row r="192" spans="1:4" ht="18.75" thickBot="1" x14ac:dyDescent="0.25">
      <c r="A192" s="71" t="s">
        <v>14</v>
      </c>
      <c r="B192" s="72">
        <v>5</v>
      </c>
      <c r="C192" s="73" t="s">
        <v>23</v>
      </c>
      <c r="D192" s="82">
        <v>42548</v>
      </c>
    </row>
    <row r="193" spans="1:4" ht="27.75" thickBot="1" x14ac:dyDescent="0.25">
      <c r="A193" s="74" t="s">
        <v>3</v>
      </c>
      <c r="B193" s="75" t="s">
        <v>15</v>
      </c>
      <c r="C193" s="74" t="s">
        <v>7</v>
      </c>
      <c r="D193" s="74" t="s">
        <v>13</v>
      </c>
    </row>
    <row r="194" spans="1:4" ht="13.5" x14ac:dyDescent="0.2">
      <c r="A194" s="9"/>
      <c r="B194" s="8"/>
      <c r="C194" s="13"/>
      <c r="D194" s="13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79"/>
      <c r="B206" s="79"/>
      <c r="C206" s="80"/>
      <c r="D206" s="80"/>
    </row>
    <row r="207" spans="1:4" ht="13.5" x14ac:dyDescent="0.2">
      <c r="A207" s="79"/>
      <c r="B207" s="79"/>
      <c r="C207" s="80"/>
      <c r="D207" s="80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76" t="s">
        <v>22</v>
      </c>
      <c r="B209" s="76">
        <f>SUM(B194:B208)</f>
        <v>0</v>
      </c>
      <c r="C209" s="85" t="s">
        <v>38</v>
      </c>
      <c r="D209" s="77"/>
    </row>
    <row r="210" spans="1:4" ht="14.25" x14ac:dyDescent="0.3">
      <c r="A210" s="78"/>
      <c r="B210" s="78"/>
      <c r="C210" s="78"/>
      <c r="D210" s="78"/>
    </row>
    <row r="211" spans="1:4" x14ac:dyDescent="0.2">
      <c r="A211" s="84" t="s">
        <v>29</v>
      </c>
    </row>
  </sheetData>
  <dataValidations count="4">
    <dataValidation type="whole" errorStyle="warning" operator="greaterThan" allowBlank="1" showInputMessage="1" showErrorMessage="1" errorTitle="Durée en 1/3 de période" error="Le nombre doit être de type entier" sqref="B194:B208 B3:B39 B44:B88 B175:B189 F49:F53 B93:B17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0 B89 B171 B190 B209">
      <formula1>0</formula1>
      <formula2>NbPerWeek * NbQuartPer</formula2>
    </dataValidation>
    <dataValidation type="list" allowBlank="1" showInputMessage="1" showErrorMessage="1" sqref="A194:A208 A3:A39 A44:A88 A175:A189 A93:A170">
      <formula1>lstTasks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:F88">
      <formula1>0</formula1>
      <formula2>DureePeriode-1</formula2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7"/>
  <headerFooter>
    <oddHeader>&amp;L&amp;"ETML L,Normal"&amp;24ETML</oddHeader>
    <oddFooter>&amp;C&amp;F&amp;L&amp;D</oddFooter>
  </headerFooter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2016-06-13T14:29:33Z</dcterms:modified>
  <cp:contentStatus>Version 8.0</cp:contentStatus>
</cp:coreProperties>
</file>