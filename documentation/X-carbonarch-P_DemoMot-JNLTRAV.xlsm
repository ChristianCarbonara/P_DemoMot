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DATA\carbonarch\P_DemoMot\documentation\"/>
    </mc:Choice>
  </mc:AlternateContent>
  <bookViews>
    <workbookView xWindow="0" yWindow="0" windowWidth="15750" windowHeight="11985" activeTab="6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7" r:id="rId6"/>
    <sheet name="JNLTRAV" sheetId="158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Planning!$A$1:$D$33</definedName>
    <definedName name="objPlanifWeek">PlanificationWeek!$A$1:$D$14</definedName>
    <definedName name="objRealizedWeek" localSheetId="4">achievementWeek!$A$1:$D$19</definedName>
    <definedName name="objRealizedWeek" localSheetId="6">JNLTRAV!$A$1:$D$41</definedName>
    <definedName name="_xlnm.Print_Area" localSheetId="0">Donnees!$A$1:$G$54</definedName>
    <definedName name="_xlnm.Print_Area" localSheetId="6">JNLTRAV!$A$1:$D$210</definedName>
    <definedName name="_xlnm.Print_Area" localSheetId="5">Planning!$A$1:$D$141</definedName>
  </definedNames>
  <calcPr calcId="152511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40" i="158" l="1"/>
  <c r="B209" i="158" l="1"/>
  <c r="B190" i="158"/>
  <c r="B171" i="158"/>
  <c r="B89" i="158"/>
  <c r="B140" i="157" l="1"/>
  <c r="B115" i="157"/>
  <c r="B108" i="157"/>
  <c r="B69" i="157"/>
  <c r="B32" i="157"/>
  <c r="B18" i="154" l="1"/>
  <c r="B13" i="11"/>
</calcChain>
</file>

<file path=xl/sharedStrings.xml><?xml version="1.0" encoding="utf-8"?>
<sst xmlns="http://schemas.openxmlformats.org/spreadsheetml/2006/main" count="418" uniqueCount="178">
  <si>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</si>
  <si>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</si>
  <si>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</si>
  <si>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</si>
  <si>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</si>
  <si>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</si>
  <si>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</si>
  <si>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</si>
  <si>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</si>
  <si>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</si>
  <si>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</si>
  <si>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</si>
  <si>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</si>
  <si>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</si>
  <si>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</si>
  <si>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</si>
  <si>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</si>
  <si>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</si>
  <si>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</si>
  <si>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</si>
  <si>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</si>
  <si>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</si>
  <si>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</si>
  <si>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</si>
  <si>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P_DemoMot</t>
  </si>
  <si>
    <t>Christian Carbonara</t>
  </si>
  <si>
    <t>CIN2B</t>
  </si>
  <si>
    <t>ETML</t>
  </si>
  <si>
    <t>Journal de travail</t>
  </si>
  <si>
    <t>STOP</t>
  </si>
  <si>
    <t>MCD-MLD</t>
  </si>
  <si>
    <t>Code PHP</t>
  </si>
  <si>
    <t>Code JS</t>
  </si>
  <si>
    <t>Code CSS</t>
  </si>
  <si>
    <t>Base de données</t>
  </si>
  <si>
    <t>Code HTML</t>
  </si>
  <si>
    <t>Cahier des charges</t>
  </si>
  <si>
    <t>Discussion  avec l'enseignant</t>
  </si>
  <si>
    <t>Max. 90</t>
  </si>
  <si>
    <t>X-carbonarch-P_DemoMot-cahier_des_charges.docx</t>
  </si>
  <si>
    <t>► Discussion et attribution avec la classe et l'enseignant sur les projets de l'ETML disponible
► Discussion sur les modules qui devaient être dans le P_DemoMot pour ceux qui ont une moyenne de 4 ou moins dans certains modules</t>
  </si>
  <si>
    <t>► Discussion sur le P_DemoMot</t>
  </si>
  <si>
    <t>► Création du cahier des charges</t>
  </si>
  <si>
    <t>► Création du journal de travail et du planning</t>
  </si>
  <si>
    <t>► Création et mise à jour du journal de travail et du planning</t>
  </si>
  <si>
    <t>► Mise à jour du journal de travail et finalisation du planning</t>
  </si>
  <si>
    <t>Machines virtuelles</t>
  </si>
  <si>
    <t>► Recherche sur le sujet du P_DemoMot qui doit comprendre :
→ Réseau
→ Web
→ Requêtes SQL
► Création du cahier des charges
► Discussion avec l'enseignant sur le cahier des charges :
→ Premier cahier des charges refusé, pas assez précis sur la connexion au site
→ Deuxième cahier des charges approuvé et signé</t>
  </si>
  <si>
    <t>► Création des machines virtuelles :
→ Windows Serveur 2012 R2
→ Windows 8 (ou10)</t>
  </si>
  <si>
    <t>VM Serveur stocké sous :
"D:\DATA\carbonarch\VM\carbonarch-WINSERV2k12"</t>
  </si>
  <si>
    <t>► Mise à jour du journal de travail</t>
  </si>
  <si>
    <t>► Mise à jour du journal de travail et avancement du planning</t>
  </si>
  <si>
    <t>► Finalisation des configurations des machines virtuelles
► Installation et configuration du DHCP et de l'AD sur la WM serveur</t>
  </si>
  <si>
    <t>Documentation des machines virtuelles</t>
  </si>
  <si>
    <t>Git Kraken</t>
  </si>
  <si>
    <t>► Création de la documentation concernant les configurations de VM</t>
  </si>
  <si>
    <t>► Création et modification du Git Kraken</t>
  </si>
  <si>
    <t>Lundi 30.05.2016 - 8h00 à 16h45, max 27</t>
  </si>
  <si>
    <t>Mardi 31.05.2016 - 13h10 à 16h45, max 12</t>
  </si>
  <si>
    <t>Mercredi 01.06.2016 - 8h00 à 16h45, max 27</t>
  </si>
  <si>
    <t>Vendredi 03.06.2016 - 8h00 à 16h45, max 24</t>
  </si>
  <si>
    <t>► Finalisation des configurations du serveur si besoin</t>
  </si>
  <si>
    <t>Camp multi-sports</t>
  </si>
  <si>
    <t>► Semaine dans un camp sportif</t>
  </si>
  <si>
    <t>► Mise à jour de la documentation pour les machines virtuelles</t>
  </si>
  <si>
    <t>► Création des styles</t>
  </si>
  <si>
    <t>► Création du MCD et du MLD</t>
  </si>
  <si>
    <t>► Création de la base de données</t>
  </si>
  <si>
    <t>► Création d'une page de redirection en html</t>
  </si>
  <si>
    <t>► Création des pages en php avec sementic ui :
→ A propos
→ Accueil
→ Liste de tous les exercices</t>
  </si>
  <si>
    <t>► Ajout de valeurs dans la base de données</t>
  </si>
  <si>
    <t>► Ajout des styles css de sementic ui nécessaires</t>
  </si>
  <si>
    <t>Test du site</t>
  </si>
  <si>
    <t>► Test pour vérifier les fonctionnaliés terminées</t>
  </si>
  <si>
    <t>Lundi 06.06.2016 - 8h00 à 16h45, max 27</t>
  </si>
  <si>
    <t>Mercredi 08.06.2016 - 8h00 à 16h45, max 27</t>
  </si>
  <si>
    <t>Vendredi 10.06.2016 - 8h00 à 16h45, max 24</t>
  </si>
  <si>
    <t>Recherche</t>
  </si>
  <si>
    <t>► Recherche sur un moyen pour utiliser un compte dans l'AD avec le site</t>
  </si>
  <si>
    <t>► Test avec un compte dans l'AD comme authentification</t>
  </si>
  <si>
    <t>►  Mise à jour du journal de travail</t>
  </si>
  <si>
    <t>► Modification des pages :
→ Ajouter un exercice avec un compte de l'AD</t>
  </si>
  <si>
    <t>► Amélioration des pages :
→ Ajouter un exercices
→ Détail de l'exercice
► Modification des pages :
→ Ajouter un exercice avec un compte de l'AD</t>
  </si>
  <si>
    <t>► Modification de la machine virtuelle du serveur pour utiliser les comptes de l'AD</t>
  </si>
  <si>
    <t>► Modification de la documentation des machines virtuelles</t>
  </si>
  <si>
    <t>► Ajout de vérifications pour l'ajouter un exercice ou le modifier</t>
  </si>
  <si>
    <t>► Test sur les fonctionnalités du site</t>
  </si>
  <si>
    <t>► Ajout des css mécessaire pour le site</t>
  </si>
  <si>
    <t>Lundi 13.06.2016 - 8h00 à 16h45, max 27</t>
  </si>
  <si>
    <t>► Finalisation du site</t>
  </si>
  <si>
    <t>► Ajout et amélioration des vérifications</t>
  </si>
  <si>
    <t>► Création des pages :
→ Pour voir ses exercices
→ Pour modifier son exercice
→ Profil
► Amélioration de toutes les pages
► Création des fonctions pour :
→ Le profil
→ Modifier son exercice
→ Voir ses exercices</t>
  </si>
  <si>
    <t>► Amélioration des pages:
→ Accueil
→ A propose
→ Liste de tous les exercices
► Création des pages avec sementic ui:
→ Ajouter un exercices
→ Détail de l'exercice
► Création des fonctions pour 
→ Récupérer les informations dans la base de données
→ Ajouter des informations dans la base de données</t>
  </si>
  <si>
    <t>Présentation</t>
  </si>
  <si>
    <t>► Création du PowerPoint pour la présentation</t>
  </si>
  <si>
    <t>► Test pour vérifier que le site fonctionne correctement</t>
  </si>
  <si>
    <t>► Ajout de pages css pour finaliser le site</t>
  </si>
  <si>
    <t>Mardi 14.06.2016 - 13h10 à 16h45, max 12</t>
  </si>
  <si>
    <t>Mardi 07.06.2016 - 13h10 à 16h45, max 12</t>
  </si>
  <si>
    <t>► Avancement dans la présentation</t>
  </si>
  <si>
    <t>► Vérification et finalisation du site</t>
  </si>
  <si>
    <t>► Test des fonctionnalités du site</t>
  </si>
  <si>
    <t>Mercredi 15.06.2016 - 8h00 à 16h45, max 27</t>
  </si>
  <si>
    <t>► Miseà jour de la documentation si besoin</t>
  </si>
  <si>
    <t>► Améliorations des pages du site et des fonctions</t>
  </si>
  <si>
    <t>► Finalisation des vérifications</t>
  </si>
  <si>
    <t>Vendredi 17.06.2016 - 8h00 à 16h45, max 24</t>
  </si>
  <si>
    <t>► Dernière vérification des pages, fonctionnalités et commentaires</t>
  </si>
  <si>
    <t>► Dernière vérification des vérifications et commentaires</t>
  </si>
  <si>
    <t>► Dernière vérification du code et des commentaires</t>
  </si>
  <si>
    <t>► Avancement de la présentation</t>
  </si>
  <si>
    <t>► Vérification de la documentation des VM</t>
  </si>
  <si>
    <t>Lundi 27.06.2016 - 8h00 à 16h45, max 27</t>
  </si>
  <si>
    <t>► Mise à jour du journal de travail avec vérification de l'orthographe</t>
  </si>
  <si>
    <t>► Revoir et finir la présentation</t>
  </si>
  <si>
    <t>► Test pour revoir et vérifier le bon fonctionnement du site</t>
  </si>
  <si>
    <t>► Vérification des commentaires</t>
  </si>
  <si>
    <t>► Présentation à la classe</t>
  </si>
  <si>
    <t>Mardi 28.06.2016 - 13h10 à 16h45, max 12</t>
  </si>
  <si>
    <t>Mercredi 29.06.2016 - 8h00 à 16h45, max 27</t>
  </si>
  <si>
    <t>X-carbonarch-P_DemoMot-doc_VM.docx</t>
  </si>
  <si>
    <t>► Création de la documentation pour les VMs :
→ Ajout du mot de passe et du nom de la VM Windows Serveur</t>
  </si>
  <si>
    <t>► Discussion sur le cahier des charges pour qu'il soit validé par Mme. Stucki</t>
  </si>
  <si>
    <t>► Création de la machine virtuelle Windows Serveur 2012 R2 (nom : carbonarch-WINSERV2k12)
→ Première installation faite sans le mode graphique, donc réinstallation de la VM
→ Installation de l'AD, DHCP et du DNS</t>
  </si>
  <si>
    <t>Test du serveur</t>
  </si>
  <si>
    <t>► Mise en forme de la documentation (Page de garde, TDM, etc…)
► Ajout d'informations sur les configurations des VMs (serveur et client)
► Ajout de capture d'écran et des résultats des tests (sur l'AD et le DHCP)</t>
  </si>
  <si>
    <t>► Test sur le DHCP pour vérifier le bon fonctionnement de la VM client avec le serveur DHCP, vérification avec un "ipconfig /all"
► Test sur l'AD se connectant depuis la VM client avec un compte créé dans l'AD</t>
  </si>
  <si>
    <t>► Création de la VM Windows 8
► Modification des paramètres de la VM Windows Serveur
→ Réseau (IPV6, IPV4, Masque de sous-réseau, etc…)
→ Nom de l'ordinateur et du domaine
→ Mise en place du DHCP (IPv4)
→ Ajout d'un utilisateur dans l'AD
► Modification des paramètres de la VM Windows Client :
→ Réseau (IPV6, IPv4, Masque de sous-réseau, etc...)
→ Nom du domaine
► Connexion sur la VM client avec un compte créé dans l'AD</t>
  </si>
  <si>
    <t>X-carbonarch-P_DemoMot-MCD.vsdx</t>
  </si>
  <si>
    <t>VM Serveur stocké sous :
"D:\DATA\carbonarch\VM\carbonarch-WINSERV2k12"
VM Client stocké sous :
"D:\DATA\carbonarch\VM\carbonarch-WIN8"</t>
  </si>
  <si>
    <t>► Création du MCD 
→ Problème rencontré à cause de l'authentification sur le site avec l'AD, et donc pour les entités</t>
  </si>
  <si>
    <t>► Mise à jour du journal de travail
► Ajout de liens hypertextes</t>
  </si>
  <si>
    <t>► Création et mise en place du Git Kraken</t>
  </si>
  <si>
    <t>► Création de la page html pour rediriger sur la page d'accueil</t>
  </si>
  <si>
    <t>Page de redirection :
"site\index.html"</t>
  </si>
  <si>
    <t>GitHub</t>
  </si>
  <si>
    <t>► Discussion sur la façon dont est géré GitHub</t>
  </si>
  <si>
    <t>Nettoyage</t>
  </si>
  <si>
    <t>► Nettoyage de la salle</t>
  </si>
  <si>
    <t>Solution :
http://www.commentcamarche.net/forum/affich-26077023-msvcr100-dll-wamp-server
https://www.microsoft.com/fr-FR/download/details.aspx?id=30679</t>
  </si>
  <si>
    <t>Scéance de classe</t>
  </si>
  <si>
    <t>► Création des pages en semantic ui :
→ Accueil
→ Liste de tous les exercices
► Création des pages php qui sont inclues sur toutes les pages :
→ menu.php
→ footer.php
→ header.php</t>
  </si>
  <si>
    <t>Pages incluent :
"site\ressources\lib"
Pages du site :
"site\src\php"</t>
  </si>
  <si>
    <t>► Ajout des css de semantic ui :
→ Container
→ Menu
→ Segment
→ Form
► Création d'un style css pour ajuster le site</t>
  </si>
  <si>
    <t>Tous les css :
"site\ressources\css"</t>
  </si>
  <si>
    <t>► Test pour vérifier le fonctionnement de semantic ui et corriger les erreurs
► Utilisation de Firebug pour vérifie le fonctionnement de semantic ui</t>
  </si>
  <si>
    <t>► Création de la page A propos avec les informations pour me contacter:
→ Difficulté à utilisé semantic ui
► Ajout d'une table en semantic ui sur la page Liste de tous les exercices
► Modification sur la structure de chaque pages du site et celles qui sont inclut
► Modification des liens avec les fichiers css</t>
  </si>
  <si>
    <t xml:space="preserve">Pages du site :
"site\src\php"
Pages incluent :
"site\ressources\lib"
</t>
  </si>
  <si>
    <t>► Ajout des css de semantic ui : 
→ Semantic
→ Input
► Modification du css de style.css
► Modification sur la structure du dossier contenant les css</t>
  </si>
  <si>
    <t>► Test du site sur :
→ Le fonctionnement de semantic ui en modifiant le css ou en utilisant Firebug</t>
  </si>
  <si>
    <t>► Séance des enseignants dans la salle de classe</t>
  </si>
  <si>
    <t>► Tentative de résolution du problème :
→ Git Kraken ne fonctionne plus, résolution du problème échoué, cause : inconnue
→ Demande d'aide à Eduardo pour utiliser Git Kraken, résultat : erreur survenu lors du push, cause : inconnue
→ Recherche sur internet sur l'utilisation de Git Kraken, résultat : identique à celui rencontré lors du push</t>
  </si>
  <si>
    <t>► Tentative d'utilisation de GitHub :
→ Demande d'aide à Nolan et Tamour sur l'utilisation de GitHub, résultat : erreur survenu lors de la copie des dossiers sur GitHub, cause : inconnue à ce moment
→ Essaie sur Google Chrome, résultat : réussite, conclusion : GitHub ne fonctionne pas avec Firefox
→ Backup du projet sur GitHub, réussi</t>
  </si>
  <si>
    <t>► Modification sur les entités dans le MCD :
→ Ajout d'attributs dans l'entité "exercise"
► Création des tables dans le MLD :
→ t_exercise
→ t_member, cette table peut être modifier en cas de besoin pour l'utiliser avec l'AD</t>
  </si>
  <si>
    <t>► Ajout des services AD LDS sur la VM serveur
► Ajout d'un dossier de partage réseau
► Ajout de Easy PHP sur la VM client :
→ Problème rencontré lors du lancement de l'application, le fichier "msvcr110.dll" était manquant, il a été ajouté après quelque recherche sous "C:\Windows\System32"
→ Impossible d'utiliser Easy PHP pour ouvrir le site avec Internet Explorer
► Ajout de Mozilla Firefox sur la VM client</t>
  </si>
  <si>
    <t>Séance de classe</t>
  </si>
  <si>
    <t>► Séance de classe</t>
  </si>
  <si>
    <t>► Modification du style.css pour les couleurs et les tailles des objets du sites
► Ajout et modification du css pour les icônes :
→ Modification dans "icon.css" des chemins pour les icônes</t>
  </si>
  <si>
    <t>Tous les css :
"site\ressources\css"
Chemin pour les icônes :
Tous les css :
"site\ressources\assets\fonts"</t>
  </si>
  <si>
    <t>► Amélioration de la page où sont affichés les exercices publiques
► Ajout des requêtes SQL pour afficher les exercices publiques
► Création de la page détail avec les fonctions et le requêtes SQL nécessaire</t>
  </si>
  <si>
    <t>► Recherche d'un moyen pour utiliser les utilisateurs de l'AD comme authentification sur le site
► Comment utiliser AD LDS
→ AD LDS est trop flou
► Recherche du problème concernant Easy PHP avec "msvcr110.dll"</t>
  </si>
  <si>
    <t>► Création de la base de données "db_demomot"
► Ajout de valeurs dans la table "t_exercise"</t>
  </si>
  <si>
    <t>MCD :
X-carbonarch-P_DemoMot-MLD.vsdx
MLD :
X-carbonarch-P_DemoMot-MCD.vsdx</t>
  </si>
  <si>
    <t>► Backup avec GitHub, plusieurs backups en une journée</t>
  </si>
  <si>
    <t>► Travaille lent à cause du manque de sommeil</t>
  </si>
  <si>
    <t>► Recherche sur l'utilisation des graphiques avec amcharts :
→ Recherche pour l'installer, réussi
→ Recherche pour l'utiliser avec la base de données, échec
→ Configuration graphique depuis le site de amcharts
→ Utilisation impossible, raison : les VMs sont configurer pour être en réseau interne
► Recherche d'un moyen pour utiliser des graphiques sans amcharts
► Téléchargement de pChart, nécessaire pour faire des graphiques en php</t>
  </si>
  <si>
    <t>Site de amcharts :
"https://www.amcharts.com/"
Lien pour créer un graphique en ligne avec amcharts :
"https://live.amcharts.com/new/edit/"
pChart :
"http://www.pchart.net/download"
Lien pour faire des graphiques en php avec pChart :
"http://www.numelion.com/creer-un-graphique-en-php.html"</t>
  </si>
  <si>
    <t>► Tentative de création du graphique en utilisant du JavaScript, echec</t>
  </si>
  <si>
    <t>JavaScript :
"site\src\js"</t>
  </si>
  <si>
    <t>► Modification de l'interface de la page détail
► Ajout de valeur et modification de la page où sont affichés tous les exercices publiques
► Modification du footer
► Ajout d'un graphique dans la page détail
► Ajout de commentaires dans le code
► Création de la page d'ajout d'un exercice, incomplète
► Vérification des fonctionnalités du site</t>
  </si>
  <si>
    <t>► Modification de la base de données pour la rendre plus précise, ajout d'attributs comme :
→ Recherche d'attributs pour rendre les informations d'un exercice plus précise, car certains exercices n'auraient pas pu être ajoutés
→ exeNbrSerie, le nombre de série (fois) que la personne effectue l'exercice
► Backup de la base de données</t>
  </si>
  <si>
    <t>Backup de la base de données :
"D:\DATA\carbonarch\P_DemoMot\db"</t>
  </si>
  <si>
    <t>Tout le code php :
"site\src\php"</t>
  </si>
  <si>
    <t>► Absence, cause : malade</t>
  </si>
  <si>
    <t>Graphique</t>
  </si>
  <si>
    <t>► Recherche d'un moyen d'utiliser pChart :
→ Test en modifiant des fichiers ou des valeurs
→ Abandon, trop complexe
► Recherche pour ajouter un graphique mCharts sur le site, réussit
► Recherche d'un moyen pour utiliser les données de la base de données avec le graphique</t>
  </si>
  <si>
    <t>► Scéance de classe</t>
  </si>
  <si>
    <t>► Discussion sur les personnes promus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</si>
</sst>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8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b/>
      <sz val="11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09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10" fillId="14" borderId="14" xfId="1" applyFont="1" applyFill="1" applyBorder="1" applyAlignment="1" applyProtection="1">
      <alignment horizontal="center" vertical="center" wrapText="1"/>
      <protection locked="0"/>
    </xf>
    <xf numFmtId="0" fontId="10" fillId="14" borderId="12" xfId="0" applyFont="1" applyFill="1" applyBorder="1" applyAlignment="1" applyProtection="1">
      <alignment horizontal="center" vertical="center" wrapText="1"/>
      <protection locked="0"/>
    </xf>
    <xf numFmtId="0" fontId="17" fillId="14" borderId="12" xfId="0" applyFont="1" applyFill="1" applyBorder="1" applyAlignment="1" applyProtection="1">
      <alignment horizontal="center" vertical="center" wrapText="1"/>
      <protection locked="0"/>
    </xf>
    <xf numFmtId="0" fontId="10" fillId="14" borderId="13" xfId="0" applyFont="1" applyFill="1" applyBorder="1" applyAlignment="1" applyProtection="1">
      <alignment horizontal="left" vertical="top" wrapText="1"/>
      <protection locked="0"/>
    </xf>
    <xf numFmtId="0" fontId="10" fillId="0" borderId="34" xfId="1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left" vertical="top" wrapText="1"/>
      <protection locked="0"/>
    </xf>
    <xf numFmtId="0" fontId="2" fillId="0" borderId="34" xfId="1" applyFill="1" applyBorder="1" applyAlignment="1" applyProtection="1">
      <alignment horizontal="left" vertical="top" wrapText="1"/>
      <protection locked="0"/>
    </xf>
    <xf numFmtId="0" fontId="10" fillId="0" borderId="33" xfId="1" applyFont="1" applyFill="1" applyBorder="1" applyAlignment="1" applyProtection="1">
      <alignment horizontal="center" vertical="center" wrapText="1"/>
      <protection locked="0"/>
    </xf>
    <xf numFmtId="0" fontId="10" fillId="15" borderId="14" xfId="1" applyFont="1" applyFill="1" applyBorder="1" applyAlignment="1" applyProtection="1">
      <alignment horizontal="center" vertical="center" wrapText="1"/>
      <protection locked="0"/>
    </xf>
    <xf numFmtId="0" fontId="10" fillId="15" borderId="12" xfId="0" applyFont="1" applyFill="1" applyBorder="1" applyAlignment="1" applyProtection="1">
      <alignment horizontal="center" vertical="center" wrapText="1"/>
      <protection locked="0"/>
    </xf>
    <xf numFmtId="0" fontId="17" fillId="15" borderId="12" xfId="0" applyFont="1" applyFill="1" applyBorder="1" applyAlignment="1" applyProtection="1">
      <alignment horizontal="center" vertical="center" wrapText="1"/>
      <protection locked="0"/>
    </xf>
    <xf numFmtId="0" fontId="10" fillId="15" borderId="13" xfId="0" applyFont="1" applyFill="1" applyBorder="1" applyAlignment="1" applyProtection="1">
      <alignment horizontal="left" vertical="top" wrapText="1"/>
      <protection locked="0"/>
    </xf>
    <xf numFmtId="0" fontId="10" fillId="0" borderId="35" xfId="1" applyFont="1" applyFill="1" applyBorder="1" applyAlignment="1" applyProtection="1">
      <alignment horizontal="center" vertical="center" wrapText="1"/>
      <protection locked="0"/>
    </xf>
    <xf numFmtId="0" fontId="10" fillId="0" borderId="35" xfId="0" applyFont="1" applyFill="1" applyBorder="1" applyAlignment="1" applyProtection="1">
      <alignment horizontal="center" vertical="center" wrapText="1"/>
      <protection locked="0"/>
    </xf>
    <xf numFmtId="0" fontId="10" fillId="0" borderId="9" xfId="0" applyFont="1" applyFill="1" applyBorder="1" applyAlignment="1" applyProtection="1">
      <alignment horizontal="left" vertical="top" wrapText="1"/>
      <protection locked="0"/>
    </xf>
    <xf numFmtId="0" fontId="2" fillId="0" borderId="33" xfId="1" applyFill="1" applyBorder="1" applyAlignment="1" applyProtection="1">
      <alignment horizontal="left" vertical="top" wrapText="1"/>
      <protection locked="0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vertical="top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1</xdr:row>
      <xdr:rowOff>161925</xdr:rowOff>
    </xdr:from>
    <xdr:to>
      <xdr:col>6</xdr:col>
      <xdr:colOff>95250</xdr:colOff>
      <xdr:row>3</xdr:row>
      <xdr:rowOff>219075</xdr:rowOff>
    </xdr:to>
    <xdr:sp macro="" textlink="">
      <xdr:nvSpPr>
        <xdr:cNvPr id="15362" name="btnCreateDiagram" hidden="1">
          <a:extLst>
            <a:ext uri="{63B3BB69-23CF-44E3-9099-C40C66FF867C}">
              <a14:compatExt xmlns:a14="http://schemas.microsoft.com/office/drawing/2010/main" spid="_x0000_s1536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5</xdr:row>
      <xdr:rowOff>9525</xdr:rowOff>
    </xdr:from>
    <xdr:to>
      <xdr:col>6</xdr:col>
      <xdr:colOff>114300</xdr:colOff>
      <xdr:row>7</xdr:row>
      <xdr:rowOff>66675</xdr:rowOff>
    </xdr:to>
    <xdr:sp macro="" textlink="">
      <xdr:nvSpPr>
        <xdr:cNvPr id="15364" name="btnCreatePlanning" hidden="1">
          <a:extLst>
            <a:ext uri="{63B3BB69-23CF-44E3-9099-C40C66FF867C}">
              <a14:compatExt xmlns:a14="http://schemas.microsoft.com/office/drawing/2010/main" spid="_x0000_s1536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8</xdr:row>
      <xdr:rowOff>190500</xdr:rowOff>
    </xdr:from>
    <xdr:to>
      <xdr:col>6</xdr:col>
      <xdr:colOff>133350</xdr:colOff>
      <xdr:row>10</xdr:row>
      <xdr:rowOff>171450</xdr:rowOff>
    </xdr:to>
    <xdr:sp macro="" textlink="">
      <xdr:nvSpPr>
        <xdr:cNvPr id="15365" name="btnCreateWorkSheet" hidden="1">
          <a:extLst>
            <a:ext uri="{63B3BB69-23CF-44E3-9099-C40C66FF867C}">
              <a14:compatExt xmlns:a14="http://schemas.microsoft.com/office/drawing/2010/main" spid="_x0000_s1536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1</xdr:row>
      <xdr:rowOff>161925</xdr:rowOff>
    </xdr:from>
    <xdr:to>
      <xdr:col>6</xdr:col>
      <xdr:colOff>95250</xdr:colOff>
      <xdr:row>3</xdr:row>
      <xdr:rowOff>219075</xdr:rowOff>
    </xdr:to>
    <xdr:pic>
      <xdr:nvPicPr>
        <xdr:cNvPr id="2" name="btnCreateDiagram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15675" y="323850"/>
          <a:ext cx="1609725" cy="476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9525</xdr:colOff>
      <xdr:row>5</xdr:row>
      <xdr:rowOff>9525</xdr:rowOff>
    </xdr:from>
    <xdr:to>
      <xdr:col>6</xdr:col>
      <xdr:colOff>114300</xdr:colOff>
      <xdr:row>7</xdr:row>
      <xdr:rowOff>66675</xdr:rowOff>
    </xdr:to>
    <xdr:pic>
      <xdr:nvPicPr>
        <xdr:cNvPr id="3" name="btnCreatePlanning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15675" y="1085850"/>
          <a:ext cx="1628775" cy="476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9525</xdr:colOff>
      <xdr:row>8</xdr:row>
      <xdr:rowOff>190500</xdr:rowOff>
    </xdr:from>
    <xdr:to>
      <xdr:col>6</xdr:col>
      <xdr:colOff>133350</xdr:colOff>
      <xdr:row>10</xdr:row>
      <xdr:rowOff>171450</xdr:rowOff>
    </xdr:to>
    <xdr:pic>
      <xdr:nvPicPr>
        <xdr:cNvPr id="4" name="btnCreateWorkShee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15675" y="1857375"/>
          <a:ext cx="1647825" cy="476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590550</xdr:colOff>
      <xdr:row>0</xdr:row>
      <xdr:rowOff>180975</xdr:rowOff>
    </xdr:from>
    <xdr:to>
      <xdr:col>7</xdr:col>
      <xdr:colOff>257175</xdr:colOff>
      <xdr:row>2</xdr:row>
      <xdr:rowOff>152400</xdr:rowOff>
    </xdr:to>
    <xdr:sp macro="" textlink="">
      <xdr:nvSpPr>
        <xdr:cNvPr id="18438" name="btnImportPlanification" hidden="1">
          <a:extLst>
            <a:ext uri="{63B3BB69-23CF-44E3-9099-C40C66FF867C}">
              <a14:compatExt xmlns:a14="http://schemas.microsoft.com/office/drawing/2010/main" spid="_x0000_s1843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590550</xdr:colOff>
      <xdr:row>0</xdr:row>
      <xdr:rowOff>180975</xdr:rowOff>
    </xdr:from>
    <xdr:to>
      <xdr:col>7</xdr:col>
      <xdr:colOff>257175</xdr:colOff>
      <xdr:row>2</xdr:row>
      <xdr:rowOff>152400</xdr:rowOff>
    </xdr:to>
    <xdr:pic>
      <xdr:nvPicPr>
        <xdr:cNvPr id="2" name="btnImportPlanifica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34750" y="180975"/>
          <a:ext cx="1952625" cy="561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590550</xdr:colOff>
      <xdr:row>0</xdr:row>
      <xdr:rowOff>180975</xdr:rowOff>
    </xdr:from>
    <xdr:to>
      <xdr:col>7</xdr:col>
      <xdr:colOff>257175</xdr:colOff>
      <xdr:row>2</xdr:row>
      <xdr:rowOff>152400</xdr:rowOff>
    </xdr:to>
    <xdr:sp macro="" textlink="">
      <xdr:nvSpPr>
        <xdr:cNvPr id="38913" name="btnImportRealisation" hidden="1">
          <a:extLst>
            <a:ext uri="{63B3BB69-23CF-44E3-9099-C40C66FF867C}">
              <a14:compatExt xmlns:a14="http://schemas.microsoft.com/office/drawing/2010/main" spid="_x0000_s38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590550</xdr:colOff>
      <xdr:row>0</xdr:row>
      <xdr:rowOff>180975</xdr:rowOff>
    </xdr:from>
    <xdr:to>
      <xdr:col>7</xdr:col>
      <xdr:colOff>257175</xdr:colOff>
      <xdr:row>2</xdr:row>
      <xdr:rowOff>152400</xdr:rowOff>
    </xdr:to>
    <xdr:pic>
      <xdr:nvPicPr>
        <xdr:cNvPr id="2" name="btnImportRealisa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34750" y="180975"/>
          <a:ext cx="1952625" cy="561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590550</xdr:colOff>
      <xdr:row>0</xdr:row>
      <xdr:rowOff>180975</xdr:rowOff>
    </xdr:from>
    <xdr:to>
      <xdr:col>7</xdr:col>
      <xdr:colOff>257175</xdr:colOff>
      <xdr:row>2</xdr:row>
      <xdr:rowOff>152400</xdr:rowOff>
    </xdr:to>
    <xdr:sp macro="" textlink="">
      <xdr:nvSpPr>
        <xdr:cNvPr id="44033" name="btnImportPlanification" hidden="1">
          <a:extLst>
            <a:ext uri="{63B3BB69-23CF-44E3-9099-C40C66FF867C}">
              <a14:compatExt xmlns:a14="http://schemas.microsoft.com/office/drawing/2010/main" spid="_x0000_s4403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590550</xdr:colOff>
      <xdr:row>0</xdr:row>
      <xdr:rowOff>180975</xdr:rowOff>
    </xdr:from>
    <xdr:to>
      <xdr:col>7</xdr:col>
      <xdr:colOff>257175</xdr:colOff>
      <xdr:row>2</xdr:row>
      <xdr:rowOff>152400</xdr:rowOff>
    </xdr:to>
    <xdr:pic>
      <xdr:nvPicPr>
        <xdr:cNvPr id="2" name="btnImportPlanifica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34750" y="180975"/>
          <a:ext cx="1952625" cy="561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590550</xdr:colOff>
      <xdr:row>0</xdr:row>
      <xdr:rowOff>180975</xdr:rowOff>
    </xdr:from>
    <xdr:to>
      <xdr:col>7</xdr:col>
      <xdr:colOff>257175</xdr:colOff>
      <xdr:row>2</xdr:row>
      <xdr:rowOff>152400</xdr:rowOff>
    </xdr:to>
    <xdr:sp macro="" textlink="">
      <xdr:nvSpPr>
        <xdr:cNvPr id="47105" name="btnImportRealisation" hidden="1">
          <a:extLst>
            <a:ext uri="{63B3BB69-23CF-44E3-9099-C40C66FF867C}">
              <a14:compatExt xmlns:a14="http://schemas.microsoft.com/office/drawing/2010/main" spid="_x0000_s471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590550</xdr:colOff>
      <xdr:row>0</xdr:row>
      <xdr:rowOff>180975</xdr:rowOff>
    </xdr:from>
    <xdr:to>
      <xdr:col>7</xdr:col>
      <xdr:colOff>257175</xdr:colOff>
      <xdr:row>2</xdr:row>
      <xdr:rowOff>152400</xdr:rowOff>
    </xdr:to>
    <xdr:pic>
      <xdr:nvPicPr>
        <xdr:cNvPr id="2" name="btnImportRealisa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34750" y="180975"/>
          <a:ext cx="1952625" cy="561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5.xml"/><Relationship Id="rId3" Type="http://schemas.openxmlformats.org/officeDocument/2006/relationships/hyperlink" Target="X-carbonarch-P_DemoMot-cahier_des_charges.docx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X-carbonarch-P_DemoMot-doc_VM.docx" TargetMode="External"/><Relationship Id="rId1" Type="http://schemas.openxmlformats.org/officeDocument/2006/relationships/hyperlink" Target="X-carbonarch-P_DemoMot-cahier_des_charges.docx" TargetMode="External"/><Relationship Id="rId6" Type="http://schemas.openxmlformats.org/officeDocument/2006/relationships/hyperlink" Target="X-carbonarch-P_DemoMot-doc_VM.docx" TargetMode="External"/><Relationship Id="rId5" Type="http://schemas.openxmlformats.org/officeDocument/2006/relationships/hyperlink" Target="X-carbonarch-P_DemoMot-MCD.vsdx" TargetMode="External"/><Relationship Id="rId4" Type="http://schemas.openxmlformats.org/officeDocument/2006/relationships/hyperlink" Target="X-carbonarch-P_DemoMot-doc_VM.doc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M73"/>
  <sheetViews>
    <sheetView topLeftCell="C13" zoomScaleNormal="100" workbookViewId="0">
      <selection activeCell="C41" sqref="C41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42520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42548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5" t="s">
        <v>19</v>
      </c>
      <c r="C19" s="106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30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31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32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33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35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54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34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37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46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53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62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72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77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93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124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 t="s">
        <v>135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 t="s">
        <v>137</v>
      </c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 t="s">
        <v>140</v>
      </c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 t="s">
        <v>174</v>
      </c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07" t="s">
        <v>21</v>
      </c>
      <c r="C3" s="30">
        <v>0</v>
      </c>
    </row>
    <row r="4" spans="1:4" ht="19.5" customHeight="1" x14ac:dyDescent="0.2">
      <c r="A4" s="34"/>
      <c r="B4" s="108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I142"/>
  <sheetViews>
    <sheetView view="pageBreakPreview" topLeftCell="A70" zoomScale="115" zoomScaleNormal="100" zoomScaleSheetLayoutView="115" workbookViewId="0">
      <selection activeCell="A98" sqref="A98:D98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5" thickBot="1" x14ac:dyDescent="0.25">
      <c r="A3" s="95"/>
      <c r="B3" s="96"/>
      <c r="C3" s="97" t="s">
        <v>57</v>
      </c>
      <c r="D3" s="98"/>
    </row>
    <row r="4" spans="1:4" s="81" customFormat="1" ht="27" x14ac:dyDescent="0.2">
      <c r="A4" s="5" t="s">
        <v>37</v>
      </c>
      <c r="B4" s="6">
        <v>3</v>
      </c>
      <c r="C4" s="14" t="s">
        <v>41</v>
      </c>
      <c r="D4" s="14"/>
    </row>
    <row r="5" spans="1:4" s="81" customFormat="1" ht="13.5" x14ac:dyDescent="0.2">
      <c r="A5" s="5" t="s">
        <v>36</v>
      </c>
      <c r="B5" s="6">
        <v>20</v>
      </c>
      <c r="C5" s="14" t="s">
        <v>42</v>
      </c>
      <c r="D5" s="14"/>
    </row>
    <row r="6" spans="1:4" s="81" customFormat="1" ht="13.5" x14ac:dyDescent="0.2">
      <c r="A6" s="5" t="s">
        <v>28</v>
      </c>
      <c r="B6" s="6">
        <v>4</v>
      </c>
      <c r="C6" s="14" t="s">
        <v>43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4.25" thickBot="1" x14ac:dyDescent="0.25">
      <c r="A8" s="5"/>
      <c r="B8" s="6"/>
      <c r="C8" s="14"/>
      <c r="D8" s="14"/>
    </row>
    <row r="9" spans="1:4" s="81" customFormat="1" ht="15" thickBot="1" x14ac:dyDescent="0.25">
      <c r="A9" s="95"/>
      <c r="B9" s="96"/>
      <c r="C9" s="97" t="s">
        <v>58</v>
      </c>
      <c r="D9" s="98"/>
    </row>
    <row r="10" spans="1:4" s="81" customFormat="1" ht="13.5" x14ac:dyDescent="0.2">
      <c r="A10" s="6" t="s">
        <v>28</v>
      </c>
      <c r="B10" s="6">
        <v>9</v>
      </c>
      <c r="C10" s="14" t="s">
        <v>51</v>
      </c>
      <c r="D10" s="14"/>
    </row>
    <row r="11" spans="1:4" s="81" customFormat="1" ht="40.5" x14ac:dyDescent="0.2">
      <c r="A11" s="6" t="s">
        <v>46</v>
      </c>
      <c r="B11" s="6">
        <v>3</v>
      </c>
      <c r="C11" s="14" t="s">
        <v>48</v>
      </c>
      <c r="D11" s="14"/>
    </row>
    <row r="12" spans="1:4" s="81" customFormat="1" ht="13.5" x14ac:dyDescent="0.2">
      <c r="A12" s="79"/>
      <c r="B12" s="79"/>
      <c r="C12" s="80"/>
      <c r="D12" s="80"/>
    </row>
    <row r="13" spans="1:4" s="81" customFormat="1" ht="14.25" thickBot="1" x14ac:dyDescent="0.25">
      <c r="A13" s="79"/>
      <c r="B13" s="79"/>
      <c r="C13" s="80"/>
      <c r="D13" s="80"/>
    </row>
    <row r="14" spans="1:4" s="81" customFormat="1" ht="15" thickBot="1" x14ac:dyDescent="0.25">
      <c r="A14" s="95"/>
      <c r="B14" s="96"/>
      <c r="C14" s="97" t="s">
        <v>59</v>
      </c>
      <c r="D14" s="98"/>
    </row>
    <row r="15" spans="1:4" s="81" customFormat="1" ht="27" x14ac:dyDescent="0.2">
      <c r="A15" s="79" t="s">
        <v>46</v>
      </c>
      <c r="B15" s="79">
        <v>12</v>
      </c>
      <c r="C15" s="80" t="s">
        <v>52</v>
      </c>
      <c r="D15" s="80"/>
    </row>
    <row r="16" spans="1:4" s="81" customFormat="1" ht="13.5" x14ac:dyDescent="0.2">
      <c r="A16" s="79" t="s">
        <v>28</v>
      </c>
      <c r="B16" s="79">
        <v>6</v>
      </c>
      <c r="C16" s="80" t="s">
        <v>45</v>
      </c>
      <c r="D16" s="80"/>
    </row>
    <row r="17" spans="1:4" s="81" customFormat="1" ht="27" x14ac:dyDescent="0.2">
      <c r="A17" s="79" t="s">
        <v>53</v>
      </c>
      <c r="B17" s="79">
        <v>6</v>
      </c>
      <c r="C17" s="80" t="s">
        <v>55</v>
      </c>
      <c r="D17" s="80"/>
    </row>
    <row r="18" spans="1:4" s="81" customFormat="1" ht="13.5" x14ac:dyDescent="0.2">
      <c r="A18" s="79" t="s">
        <v>54</v>
      </c>
      <c r="B18" s="79">
        <v>3</v>
      </c>
      <c r="C18" s="80" t="s">
        <v>56</v>
      </c>
      <c r="D18" s="80"/>
    </row>
    <row r="19" spans="1:4" s="81" customFormat="1" ht="13.5" x14ac:dyDescent="0.2">
      <c r="A19" s="79"/>
      <c r="B19" s="79"/>
      <c r="C19" s="80"/>
      <c r="D19" s="80"/>
    </row>
    <row r="20" spans="1:4" s="81" customFormat="1" ht="14.25" thickBot="1" x14ac:dyDescent="0.25">
      <c r="A20" s="79"/>
      <c r="B20" s="79"/>
      <c r="C20" s="80"/>
      <c r="D20" s="80"/>
    </row>
    <row r="21" spans="1:4" s="81" customFormat="1" ht="15" thickBot="1" x14ac:dyDescent="0.25">
      <c r="A21" s="95"/>
      <c r="B21" s="96"/>
      <c r="C21" s="97" t="s">
        <v>60</v>
      </c>
      <c r="D21" s="98"/>
    </row>
    <row r="22" spans="1:4" s="81" customFormat="1" ht="13.5" x14ac:dyDescent="0.2">
      <c r="A22" s="79" t="s">
        <v>46</v>
      </c>
      <c r="B22" s="79">
        <v>3</v>
      </c>
      <c r="C22" s="80" t="s">
        <v>61</v>
      </c>
      <c r="D22" s="80"/>
    </row>
    <row r="23" spans="1:4" s="81" customFormat="1" ht="27" x14ac:dyDescent="0.2">
      <c r="A23" s="79" t="s">
        <v>53</v>
      </c>
      <c r="B23" s="79">
        <v>2</v>
      </c>
      <c r="C23" s="80" t="s">
        <v>64</v>
      </c>
      <c r="D23" s="80"/>
    </row>
    <row r="24" spans="1:4" s="81" customFormat="1" ht="13.5" x14ac:dyDescent="0.2">
      <c r="A24" s="79" t="s">
        <v>30</v>
      </c>
      <c r="B24" s="79">
        <v>4</v>
      </c>
      <c r="C24" s="80" t="s">
        <v>66</v>
      </c>
      <c r="D24" s="80"/>
    </row>
    <row r="25" spans="1:4" s="81" customFormat="1" ht="13.5" x14ac:dyDescent="0.2">
      <c r="A25" s="79" t="s">
        <v>34</v>
      </c>
      <c r="B25" s="79">
        <v>2</v>
      </c>
      <c r="C25" s="80" t="s">
        <v>67</v>
      </c>
      <c r="D25" s="80"/>
    </row>
    <row r="26" spans="1:4" s="81" customFormat="1" ht="54" x14ac:dyDescent="0.2">
      <c r="A26" s="79" t="s">
        <v>31</v>
      </c>
      <c r="B26" s="79">
        <v>8</v>
      </c>
      <c r="C26" s="80" t="s">
        <v>69</v>
      </c>
      <c r="D26" s="80"/>
    </row>
    <row r="27" spans="1:4" s="81" customFormat="1" ht="13.5" x14ac:dyDescent="0.2">
      <c r="A27" s="79" t="s">
        <v>35</v>
      </c>
      <c r="B27" s="79">
        <v>1</v>
      </c>
      <c r="C27" s="80" t="s">
        <v>68</v>
      </c>
      <c r="D27" s="80"/>
    </row>
    <row r="28" spans="1:4" s="81" customFormat="1" ht="13.5" x14ac:dyDescent="0.2">
      <c r="A28" s="79" t="s">
        <v>33</v>
      </c>
      <c r="B28" s="79">
        <v>2</v>
      </c>
      <c r="C28" s="80" t="s">
        <v>65</v>
      </c>
      <c r="D28" s="80"/>
    </row>
    <row r="29" spans="1:4" s="81" customFormat="1" ht="13.5" x14ac:dyDescent="0.2">
      <c r="A29" s="79" t="s">
        <v>28</v>
      </c>
      <c r="B29" s="79">
        <v>2</v>
      </c>
      <c r="C29" s="80" t="s">
        <v>50</v>
      </c>
      <c r="D29" s="80"/>
    </row>
    <row r="30" spans="1:4" s="81" customFormat="1" ht="13.5" x14ac:dyDescent="0.2">
      <c r="A30" s="79"/>
      <c r="B30" s="79"/>
      <c r="C30" s="80"/>
      <c r="D30" s="80"/>
    </row>
    <row r="31" spans="1:4" s="81" customFormat="1" ht="14.25" thickBot="1" x14ac:dyDescent="0.25">
      <c r="A31" s="7"/>
      <c r="B31" s="7"/>
      <c r="C31" s="15"/>
      <c r="D31" s="15"/>
    </row>
    <row r="32" spans="1:4" ht="14.25" thickBot="1" x14ac:dyDescent="0.25">
      <c r="A32" s="16" t="s">
        <v>22</v>
      </c>
      <c r="B32" s="16">
        <f>SUM(B3:B31)</f>
        <v>90</v>
      </c>
      <c r="C32" s="83" t="s">
        <v>38</v>
      </c>
      <c r="D32" s="17"/>
    </row>
    <row r="33" spans="1:9" ht="15" thickBot="1" x14ac:dyDescent="0.35">
      <c r="A33" s="18"/>
      <c r="B33" s="18"/>
      <c r="C33" s="18"/>
      <c r="D33" s="18"/>
    </row>
    <row r="34" spans="1:9" ht="18.75" thickBot="1" x14ac:dyDescent="0.25">
      <c r="A34" s="10" t="s">
        <v>14</v>
      </c>
      <c r="B34" s="11">
        <v>2</v>
      </c>
      <c r="C34" s="31"/>
      <c r="D34" s="33"/>
    </row>
    <row r="35" spans="1:9" ht="27.75" thickBot="1" x14ac:dyDescent="0.25">
      <c r="A35" s="12" t="s">
        <v>3</v>
      </c>
      <c r="B35" s="32" t="s">
        <v>15</v>
      </c>
      <c r="C35" s="12" t="s">
        <v>7</v>
      </c>
      <c r="D35" s="12" t="s">
        <v>13</v>
      </c>
    </row>
    <row r="36" spans="1:9" ht="15" thickBot="1" x14ac:dyDescent="0.25">
      <c r="A36" s="95"/>
      <c r="B36" s="96"/>
      <c r="C36" s="97" t="s">
        <v>74</v>
      </c>
      <c r="D36" s="98"/>
    </row>
    <row r="37" spans="1:9" ht="13.5" x14ac:dyDescent="0.2">
      <c r="A37" s="5" t="s">
        <v>34</v>
      </c>
      <c r="B37" s="6">
        <v>2</v>
      </c>
      <c r="C37" s="14" t="s">
        <v>70</v>
      </c>
      <c r="D37" s="14"/>
    </row>
    <row r="38" spans="1:9" ht="162" x14ac:dyDescent="0.2">
      <c r="A38" s="5" t="s">
        <v>31</v>
      </c>
      <c r="B38" s="6">
        <v>15</v>
      </c>
      <c r="C38" s="14" t="s">
        <v>92</v>
      </c>
      <c r="D38" s="14"/>
      <c r="E38" s="37"/>
      <c r="F38" s="37"/>
      <c r="G38" s="37"/>
      <c r="H38" s="37"/>
      <c r="I38" s="37"/>
    </row>
    <row r="39" spans="1:9" ht="12.75" customHeight="1" x14ac:dyDescent="0.2">
      <c r="A39" s="5" t="s">
        <v>33</v>
      </c>
      <c r="B39" s="6">
        <v>3</v>
      </c>
      <c r="C39" s="14" t="s">
        <v>71</v>
      </c>
      <c r="D39" s="14"/>
      <c r="E39" s="37"/>
      <c r="F39" s="54"/>
      <c r="G39" s="55"/>
      <c r="H39" s="56"/>
      <c r="I39" s="37"/>
    </row>
    <row r="40" spans="1:9" ht="15" x14ac:dyDescent="0.2">
      <c r="A40" s="5" t="s">
        <v>72</v>
      </c>
      <c r="B40" s="6">
        <v>4</v>
      </c>
      <c r="C40" s="14" t="s">
        <v>73</v>
      </c>
      <c r="D40" s="14"/>
      <c r="E40" s="37"/>
      <c r="F40" s="57"/>
      <c r="G40" s="53"/>
      <c r="H40" s="53"/>
      <c r="I40" s="37"/>
    </row>
    <row r="41" spans="1:9" ht="13.5" x14ac:dyDescent="0.2">
      <c r="A41" s="5" t="s">
        <v>28</v>
      </c>
      <c r="B41" s="6">
        <v>3</v>
      </c>
      <c r="C41" s="14" t="s">
        <v>50</v>
      </c>
      <c r="D41" s="14"/>
      <c r="E41" s="37"/>
      <c r="F41" s="59"/>
      <c r="G41" s="60"/>
      <c r="H41" s="60"/>
      <c r="I41" s="37"/>
    </row>
    <row r="42" spans="1:9" ht="13.5" x14ac:dyDescent="0.2">
      <c r="A42" s="6"/>
      <c r="B42" s="6"/>
      <c r="C42" s="14"/>
      <c r="D42" s="14"/>
      <c r="E42" s="37"/>
      <c r="F42" s="59"/>
      <c r="G42" s="60"/>
      <c r="H42" s="60"/>
      <c r="I42" s="37"/>
    </row>
    <row r="43" spans="1:9" ht="14.25" thickBot="1" x14ac:dyDescent="0.25">
      <c r="A43" s="6"/>
      <c r="B43" s="6"/>
      <c r="C43" s="14"/>
      <c r="D43" s="14"/>
      <c r="E43" s="37"/>
      <c r="F43" s="59"/>
      <c r="G43" s="60"/>
      <c r="H43" s="60"/>
      <c r="I43" s="37"/>
    </row>
    <row r="44" spans="1:9" ht="15" thickBot="1" x14ac:dyDescent="0.25">
      <c r="A44" s="95"/>
      <c r="B44" s="96"/>
      <c r="C44" s="97" t="s">
        <v>98</v>
      </c>
      <c r="D44" s="98"/>
      <c r="E44" s="37"/>
      <c r="F44" s="59"/>
      <c r="G44" s="60"/>
      <c r="H44" s="60"/>
      <c r="I44" s="37"/>
    </row>
    <row r="45" spans="1:9" ht="81" x14ac:dyDescent="0.2">
      <c r="A45" s="6" t="s">
        <v>31</v>
      </c>
      <c r="B45" s="6">
        <v>3</v>
      </c>
      <c r="C45" s="14" t="s">
        <v>82</v>
      </c>
      <c r="D45" s="14"/>
      <c r="E45" s="37"/>
      <c r="F45" s="59"/>
      <c r="G45" s="60"/>
      <c r="H45" s="60"/>
      <c r="I45" s="37"/>
    </row>
    <row r="46" spans="1:9" ht="13.5" x14ac:dyDescent="0.2">
      <c r="A46" s="6" t="s">
        <v>77</v>
      </c>
      <c r="B46" s="6">
        <v>4</v>
      </c>
      <c r="C46" s="14" t="s">
        <v>78</v>
      </c>
      <c r="D46" s="14"/>
      <c r="E46" s="37"/>
      <c r="F46" s="59"/>
      <c r="G46" s="60"/>
      <c r="H46" s="60"/>
      <c r="I46" s="37"/>
    </row>
    <row r="47" spans="1:9" ht="13.5" x14ac:dyDescent="0.2">
      <c r="A47" s="6" t="s">
        <v>72</v>
      </c>
      <c r="B47" s="6">
        <v>2</v>
      </c>
      <c r="C47" s="14" t="s">
        <v>79</v>
      </c>
      <c r="D47" s="14"/>
      <c r="E47" s="37"/>
      <c r="F47" s="59"/>
      <c r="G47" s="60"/>
      <c r="H47" s="60"/>
      <c r="I47" s="37"/>
    </row>
    <row r="48" spans="1:9" ht="13.5" x14ac:dyDescent="0.2">
      <c r="A48" s="6" t="s">
        <v>46</v>
      </c>
      <c r="B48" s="6">
        <v>1</v>
      </c>
      <c r="C48" s="14" t="s">
        <v>83</v>
      </c>
      <c r="D48" s="14"/>
      <c r="E48" s="37"/>
      <c r="F48" s="59"/>
      <c r="G48" s="60"/>
      <c r="H48" s="60"/>
      <c r="I48" s="37"/>
    </row>
    <row r="49" spans="1:9" ht="13.5" x14ac:dyDescent="0.2">
      <c r="A49" s="6" t="s">
        <v>28</v>
      </c>
      <c r="B49" s="6">
        <v>2</v>
      </c>
      <c r="C49" s="14" t="s">
        <v>50</v>
      </c>
      <c r="D49" s="14"/>
      <c r="E49" s="37"/>
      <c r="F49" s="59"/>
      <c r="G49" s="60"/>
      <c r="H49" s="60"/>
      <c r="I49" s="37"/>
    </row>
    <row r="50" spans="1:9" ht="13.5" x14ac:dyDescent="0.2">
      <c r="A50" s="6"/>
      <c r="B50" s="6"/>
      <c r="C50" s="14"/>
      <c r="D50" s="14"/>
      <c r="E50" s="37"/>
      <c r="F50" s="59"/>
      <c r="G50" s="60"/>
      <c r="H50" s="60"/>
      <c r="I50" s="37"/>
    </row>
    <row r="51" spans="1:9" ht="14.25" thickBot="1" x14ac:dyDescent="0.25">
      <c r="A51" s="6"/>
      <c r="B51" s="6"/>
      <c r="C51" s="14"/>
      <c r="D51" s="14"/>
      <c r="E51" s="37"/>
      <c r="F51" s="59"/>
      <c r="G51" s="60"/>
      <c r="H51" s="60"/>
      <c r="I51" s="37"/>
    </row>
    <row r="52" spans="1:9" ht="15" thickBot="1" x14ac:dyDescent="0.25">
      <c r="A52" s="95"/>
      <c r="B52" s="96"/>
      <c r="C52" s="97" t="s">
        <v>75</v>
      </c>
      <c r="D52" s="98"/>
      <c r="E52" s="37"/>
      <c r="F52" s="59"/>
      <c r="G52" s="60"/>
      <c r="H52" s="60"/>
      <c r="I52" s="37"/>
    </row>
    <row r="53" spans="1:9" ht="13.5" x14ac:dyDescent="0.2">
      <c r="A53" s="6" t="s">
        <v>77</v>
      </c>
      <c r="B53" s="6">
        <v>7</v>
      </c>
      <c r="C53" s="14" t="s">
        <v>78</v>
      </c>
      <c r="D53" s="14"/>
      <c r="E53" s="37"/>
      <c r="F53" s="59"/>
      <c r="G53" s="60"/>
      <c r="H53" s="60"/>
      <c r="I53" s="37"/>
    </row>
    <row r="54" spans="1:9" ht="13.5" x14ac:dyDescent="0.2">
      <c r="A54" s="6" t="s">
        <v>72</v>
      </c>
      <c r="B54" s="6">
        <v>5</v>
      </c>
      <c r="C54" s="14" t="s">
        <v>79</v>
      </c>
      <c r="D54" s="14"/>
      <c r="E54" s="37"/>
      <c r="F54" s="59"/>
      <c r="G54" s="60"/>
      <c r="H54" s="60"/>
      <c r="I54" s="37"/>
    </row>
    <row r="55" spans="1:9" ht="27" x14ac:dyDescent="0.2">
      <c r="A55" s="6" t="s">
        <v>31</v>
      </c>
      <c r="B55" s="6">
        <v>7</v>
      </c>
      <c r="C55" s="14" t="s">
        <v>81</v>
      </c>
      <c r="D55" s="14"/>
      <c r="E55" s="37"/>
      <c r="F55" s="59"/>
      <c r="G55" s="60"/>
      <c r="H55" s="60"/>
      <c r="I55" s="37"/>
    </row>
    <row r="56" spans="1:9" ht="13.5" x14ac:dyDescent="0.2">
      <c r="A56" s="6" t="s">
        <v>46</v>
      </c>
      <c r="B56" s="6">
        <v>3</v>
      </c>
      <c r="C56" s="14" t="s">
        <v>83</v>
      </c>
      <c r="D56" s="14"/>
      <c r="E56" s="37"/>
      <c r="F56" s="59"/>
      <c r="G56" s="60"/>
      <c r="H56" s="60"/>
      <c r="I56" s="37"/>
    </row>
    <row r="57" spans="1:9" ht="27" x14ac:dyDescent="0.2">
      <c r="A57" s="6" t="s">
        <v>53</v>
      </c>
      <c r="B57" s="6">
        <v>2</v>
      </c>
      <c r="C57" s="14" t="s">
        <v>84</v>
      </c>
      <c r="D57" s="14"/>
      <c r="E57" s="37"/>
      <c r="F57" s="59"/>
      <c r="G57" s="60"/>
      <c r="H57" s="60"/>
      <c r="I57" s="37"/>
    </row>
    <row r="58" spans="1:9" ht="13.5" x14ac:dyDescent="0.2">
      <c r="A58" s="6" t="s">
        <v>28</v>
      </c>
      <c r="B58" s="6">
        <v>3</v>
      </c>
      <c r="C58" s="14" t="s">
        <v>80</v>
      </c>
      <c r="D58" s="14"/>
      <c r="E58" s="37"/>
      <c r="F58" s="59"/>
      <c r="G58" s="60"/>
      <c r="H58" s="60"/>
      <c r="I58" s="37"/>
    </row>
    <row r="59" spans="1:9" ht="13.5" x14ac:dyDescent="0.2">
      <c r="A59" s="6"/>
      <c r="B59" s="6"/>
      <c r="C59" s="14"/>
      <c r="D59" s="14"/>
      <c r="E59" s="37"/>
      <c r="F59" s="59"/>
      <c r="G59" s="60"/>
      <c r="H59" s="60"/>
      <c r="I59" s="37"/>
    </row>
    <row r="60" spans="1:9" ht="14.25" thickBot="1" x14ac:dyDescent="0.25">
      <c r="A60" s="6"/>
      <c r="B60" s="6"/>
      <c r="C60" s="14"/>
      <c r="D60" s="14"/>
      <c r="E60" s="37"/>
      <c r="F60" s="59"/>
      <c r="G60" s="60"/>
      <c r="H60" s="60"/>
      <c r="I60" s="37"/>
    </row>
    <row r="61" spans="1:9" ht="15" thickBot="1" x14ac:dyDescent="0.25">
      <c r="A61" s="95"/>
      <c r="B61" s="96"/>
      <c r="C61" s="97" t="s">
        <v>76</v>
      </c>
      <c r="D61" s="98"/>
      <c r="E61" s="37"/>
      <c r="F61" s="59"/>
      <c r="G61" s="60"/>
      <c r="H61" s="60"/>
      <c r="I61" s="37"/>
    </row>
    <row r="62" spans="1:9" ht="148.5" x14ac:dyDescent="0.2">
      <c r="A62" s="6" t="s">
        <v>31</v>
      </c>
      <c r="B62" s="6">
        <v>12</v>
      </c>
      <c r="C62" s="14" t="s">
        <v>91</v>
      </c>
      <c r="D62" s="14"/>
      <c r="E62" s="37"/>
      <c r="F62" s="59"/>
      <c r="G62" s="60"/>
      <c r="H62" s="60"/>
      <c r="I62" s="37"/>
    </row>
    <row r="63" spans="1:9" ht="13.5" x14ac:dyDescent="0.2">
      <c r="A63" s="6" t="s">
        <v>32</v>
      </c>
      <c r="B63" s="6">
        <v>3</v>
      </c>
      <c r="C63" s="14" t="s">
        <v>85</v>
      </c>
      <c r="D63" s="14"/>
      <c r="E63" s="37"/>
      <c r="F63" s="59"/>
      <c r="G63" s="60"/>
      <c r="H63" s="60"/>
      <c r="I63" s="37"/>
    </row>
    <row r="64" spans="1:9" ht="13.5" x14ac:dyDescent="0.2">
      <c r="A64" s="6" t="s">
        <v>33</v>
      </c>
      <c r="B64" s="6">
        <v>3</v>
      </c>
      <c r="C64" s="14" t="s">
        <v>87</v>
      </c>
      <c r="D64" s="14"/>
      <c r="E64" s="37"/>
      <c r="F64" s="59"/>
      <c r="G64" s="60"/>
      <c r="H64" s="60"/>
      <c r="I64" s="37"/>
    </row>
    <row r="65" spans="1:9" ht="13.5" x14ac:dyDescent="0.2">
      <c r="A65" s="6" t="s">
        <v>72</v>
      </c>
      <c r="B65" s="6">
        <v>3</v>
      </c>
      <c r="C65" s="14" t="s">
        <v>86</v>
      </c>
      <c r="D65" s="14"/>
      <c r="E65" s="37"/>
      <c r="F65" s="59"/>
      <c r="G65" s="60"/>
      <c r="H65" s="60"/>
      <c r="I65" s="37"/>
    </row>
    <row r="66" spans="1:9" ht="13.5" x14ac:dyDescent="0.2">
      <c r="A66" s="6" t="s">
        <v>28</v>
      </c>
      <c r="B66" s="6">
        <v>3</v>
      </c>
      <c r="C66" s="14" t="s">
        <v>50</v>
      </c>
      <c r="D66" s="14"/>
      <c r="E66" s="37"/>
      <c r="F66" s="59"/>
      <c r="G66" s="60"/>
      <c r="H66" s="60"/>
      <c r="I66" s="37"/>
    </row>
    <row r="67" spans="1:9" ht="13.5" x14ac:dyDescent="0.2">
      <c r="A67" s="6"/>
      <c r="B67" s="6"/>
      <c r="C67" s="14"/>
      <c r="D67" s="14"/>
      <c r="E67" s="37"/>
      <c r="F67" s="59"/>
      <c r="G67" s="60"/>
      <c r="H67" s="60"/>
      <c r="I67" s="37"/>
    </row>
    <row r="68" spans="1:9" ht="14.25" thickBot="1" x14ac:dyDescent="0.25">
      <c r="A68" s="7"/>
      <c r="B68" s="7"/>
      <c r="C68" s="15"/>
      <c r="D68" s="15"/>
      <c r="E68" s="37"/>
      <c r="F68" s="59"/>
      <c r="G68" s="60"/>
      <c r="H68" s="60"/>
      <c r="I68" s="37"/>
    </row>
    <row r="69" spans="1:9" ht="14.25" thickBot="1" x14ac:dyDescent="0.25">
      <c r="A69" s="16" t="s">
        <v>22</v>
      </c>
      <c r="B69" s="16">
        <f>SUM(B36:B68)</f>
        <v>90</v>
      </c>
      <c r="C69" s="83" t="s">
        <v>38</v>
      </c>
      <c r="D69" s="17"/>
      <c r="E69" s="37"/>
      <c r="F69" s="59"/>
      <c r="G69" s="60"/>
      <c r="H69" s="60"/>
      <c r="I69" s="37"/>
    </row>
    <row r="70" spans="1:9" ht="15" thickBot="1" x14ac:dyDescent="0.35">
      <c r="A70" s="18"/>
      <c r="B70" s="18"/>
      <c r="C70" s="18"/>
      <c r="D70" s="18"/>
      <c r="E70" s="37"/>
      <c r="F70" s="59"/>
      <c r="G70" s="60"/>
      <c r="H70" s="60"/>
      <c r="I70" s="37"/>
    </row>
    <row r="71" spans="1:9" ht="18.75" thickBot="1" x14ac:dyDescent="0.25">
      <c r="A71" s="10" t="s">
        <v>14</v>
      </c>
      <c r="B71" s="11">
        <v>3</v>
      </c>
      <c r="C71" s="31"/>
      <c r="D71" s="33"/>
      <c r="E71" s="37"/>
      <c r="F71" s="59"/>
      <c r="G71" s="60"/>
      <c r="H71" s="60"/>
      <c r="I71" s="37"/>
    </row>
    <row r="72" spans="1:9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  <c r="E72" s="37"/>
      <c r="F72" s="61"/>
      <c r="G72" s="62"/>
      <c r="H72" s="62"/>
      <c r="I72" s="37"/>
    </row>
    <row r="73" spans="1:9" ht="15" thickBot="1" x14ac:dyDescent="0.35">
      <c r="A73" s="95"/>
      <c r="B73" s="96"/>
      <c r="C73" s="97" t="s">
        <v>88</v>
      </c>
      <c r="D73" s="98"/>
      <c r="E73" s="37"/>
      <c r="F73" s="63"/>
      <c r="G73" s="63"/>
      <c r="H73" s="63"/>
      <c r="I73" s="37"/>
    </row>
    <row r="74" spans="1:9" ht="13.5" x14ac:dyDescent="0.2">
      <c r="A74" s="5" t="s">
        <v>31</v>
      </c>
      <c r="B74" s="6">
        <v>14</v>
      </c>
      <c r="C74" s="14" t="s">
        <v>104</v>
      </c>
      <c r="D74" s="14"/>
      <c r="E74" s="37"/>
      <c r="F74" s="37"/>
      <c r="G74" s="37"/>
      <c r="H74" s="37"/>
      <c r="I74" s="37"/>
    </row>
    <row r="75" spans="1:9" ht="13.5" x14ac:dyDescent="0.2">
      <c r="A75" s="5" t="s">
        <v>33</v>
      </c>
      <c r="B75" s="6">
        <v>1</v>
      </c>
      <c r="C75" s="14" t="s">
        <v>96</v>
      </c>
      <c r="D75" s="14"/>
      <c r="E75" s="37"/>
      <c r="F75" s="37"/>
      <c r="G75" s="37"/>
      <c r="H75" s="37"/>
      <c r="I75" s="37"/>
    </row>
    <row r="76" spans="1:9" ht="13.5" x14ac:dyDescent="0.2">
      <c r="A76" s="5" t="s">
        <v>32</v>
      </c>
      <c r="B76" s="6">
        <v>4</v>
      </c>
      <c r="C76" s="14" t="s">
        <v>90</v>
      </c>
      <c r="D76" s="14"/>
      <c r="E76" s="37"/>
      <c r="F76" s="37"/>
      <c r="G76" s="37"/>
      <c r="H76" s="37"/>
      <c r="I76" s="37"/>
    </row>
    <row r="77" spans="1:9" ht="13.5" x14ac:dyDescent="0.2">
      <c r="A77" s="5" t="s">
        <v>93</v>
      </c>
      <c r="B77" s="6">
        <v>2</v>
      </c>
      <c r="C77" s="14" t="s">
        <v>94</v>
      </c>
      <c r="D77" s="14"/>
      <c r="E77" s="37"/>
      <c r="F77" s="37"/>
      <c r="G77" s="37"/>
      <c r="H77" s="37"/>
      <c r="I77" s="37"/>
    </row>
    <row r="78" spans="1:9" ht="13.5" x14ac:dyDescent="0.2">
      <c r="A78" s="5" t="s">
        <v>72</v>
      </c>
      <c r="B78" s="6">
        <v>3</v>
      </c>
      <c r="C78" s="14" t="s">
        <v>95</v>
      </c>
      <c r="D78" s="14"/>
      <c r="E78" s="37"/>
      <c r="F78" s="37"/>
      <c r="G78" s="37"/>
      <c r="H78" s="37"/>
      <c r="I78" s="37"/>
    </row>
    <row r="79" spans="1:9" ht="13.5" x14ac:dyDescent="0.2">
      <c r="A79" s="5" t="s">
        <v>28</v>
      </c>
      <c r="B79" s="6">
        <v>2</v>
      </c>
      <c r="C79" s="14" t="s">
        <v>50</v>
      </c>
      <c r="D79" s="14"/>
      <c r="E79" s="37"/>
      <c r="F79" s="37"/>
      <c r="G79" s="37"/>
      <c r="H79" s="37"/>
      <c r="I79" s="37"/>
    </row>
    <row r="80" spans="1:9" ht="13.5" x14ac:dyDescent="0.2">
      <c r="A80" s="5"/>
      <c r="B80" s="6"/>
      <c r="C80" s="14"/>
      <c r="D80" s="14"/>
    </row>
    <row r="81" spans="1:4" ht="14.25" thickBot="1" x14ac:dyDescent="0.25">
      <c r="A81" s="5"/>
      <c r="B81" s="6"/>
      <c r="C81" s="14"/>
      <c r="D81" s="14"/>
    </row>
    <row r="82" spans="1:4" ht="15" thickBot="1" x14ac:dyDescent="0.25">
      <c r="A82" s="95"/>
      <c r="B82" s="96"/>
      <c r="C82" s="97" t="s">
        <v>97</v>
      </c>
      <c r="D82" s="98"/>
    </row>
    <row r="83" spans="1:4" ht="13.5" x14ac:dyDescent="0.2">
      <c r="A83" s="6" t="s">
        <v>93</v>
      </c>
      <c r="B83" s="6">
        <v>3</v>
      </c>
      <c r="C83" s="14" t="s">
        <v>99</v>
      </c>
      <c r="D83" s="14"/>
    </row>
    <row r="84" spans="1:4" ht="13.5" x14ac:dyDescent="0.2">
      <c r="A84" s="6" t="s">
        <v>31</v>
      </c>
      <c r="B84" s="6">
        <v>4</v>
      </c>
      <c r="C84" s="14" t="s">
        <v>100</v>
      </c>
      <c r="D84" s="14"/>
    </row>
    <row r="85" spans="1:4" ht="13.5" x14ac:dyDescent="0.2">
      <c r="A85" s="79" t="s">
        <v>72</v>
      </c>
      <c r="B85" s="79">
        <v>3</v>
      </c>
      <c r="C85" s="80" t="s">
        <v>101</v>
      </c>
      <c r="D85" s="80"/>
    </row>
    <row r="86" spans="1:4" ht="13.5" x14ac:dyDescent="0.2">
      <c r="A86" s="79" t="s">
        <v>28</v>
      </c>
      <c r="B86" s="79">
        <v>2</v>
      </c>
      <c r="C86" s="80" t="s">
        <v>50</v>
      </c>
      <c r="D86" s="80"/>
    </row>
    <row r="87" spans="1:4" ht="13.5" x14ac:dyDescent="0.2">
      <c r="A87" s="79"/>
      <c r="B87" s="79"/>
      <c r="C87" s="80"/>
      <c r="D87" s="80"/>
    </row>
    <row r="88" spans="1:4" ht="14.25" thickBot="1" x14ac:dyDescent="0.25">
      <c r="A88" s="79"/>
      <c r="B88" s="79"/>
      <c r="C88" s="80"/>
      <c r="D88" s="80"/>
    </row>
    <row r="89" spans="1:4" ht="15" thickBot="1" x14ac:dyDescent="0.25">
      <c r="A89" s="95"/>
      <c r="B89" s="96"/>
      <c r="C89" s="97" t="s">
        <v>102</v>
      </c>
      <c r="D89" s="98"/>
    </row>
    <row r="90" spans="1:4" ht="13.5" x14ac:dyDescent="0.2">
      <c r="A90" s="79" t="s">
        <v>93</v>
      </c>
      <c r="B90" s="79">
        <v>3</v>
      </c>
      <c r="C90" s="80" t="s">
        <v>99</v>
      </c>
      <c r="D90" s="80"/>
    </row>
    <row r="91" spans="1:4" ht="13.5" x14ac:dyDescent="0.2">
      <c r="A91" s="79" t="s">
        <v>31</v>
      </c>
      <c r="B91" s="79">
        <v>13</v>
      </c>
      <c r="C91" s="80" t="s">
        <v>89</v>
      </c>
      <c r="D91" s="80"/>
    </row>
    <row r="92" spans="1:4" ht="27" x14ac:dyDescent="0.2">
      <c r="A92" s="79" t="s">
        <v>53</v>
      </c>
      <c r="B92" s="79">
        <v>2</v>
      </c>
      <c r="C92" s="80" t="s">
        <v>103</v>
      </c>
      <c r="D92" s="80"/>
    </row>
    <row r="93" spans="1:4" ht="13.5" x14ac:dyDescent="0.2">
      <c r="A93" s="79" t="s">
        <v>72</v>
      </c>
      <c r="B93" s="79">
        <v>4</v>
      </c>
      <c r="C93" s="80" t="s">
        <v>101</v>
      </c>
      <c r="D93" s="80"/>
    </row>
    <row r="94" spans="1:4" ht="13.5" x14ac:dyDescent="0.2">
      <c r="A94" s="79" t="s">
        <v>32</v>
      </c>
      <c r="B94" s="79">
        <v>3</v>
      </c>
      <c r="C94" s="80" t="s">
        <v>105</v>
      </c>
      <c r="D94" s="80"/>
    </row>
    <row r="95" spans="1:4" ht="13.5" x14ac:dyDescent="0.2">
      <c r="A95" s="79" t="s">
        <v>28</v>
      </c>
      <c r="B95" s="79">
        <v>2</v>
      </c>
      <c r="C95" s="80" t="s">
        <v>50</v>
      </c>
      <c r="D95" s="80"/>
    </row>
    <row r="96" spans="1:4" ht="13.5" x14ac:dyDescent="0.2">
      <c r="A96" s="79"/>
      <c r="B96" s="79"/>
      <c r="C96" s="80"/>
      <c r="D96" s="80"/>
    </row>
    <row r="97" spans="1:4" ht="14.25" thickBot="1" x14ac:dyDescent="0.25">
      <c r="A97" s="79"/>
      <c r="B97" s="79"/>
      <c r="C97" s="80"/>
      <c r="D97" s="80"/>
    </row>
    <row r="98" spans="1:4" ht="15" thickBot="1" x14ac:dyDescent="0.25">
      <c r="A98" s="95"/>
      <c r="B98" s="96"/>
      <c r="C98" s="97" t="s">
        <v>106</v>
      </c>
      <c r="D98" s="98"/>
    </row>
    <row r="99" spans="1:4" ht="13.5" x14ac:dyDescent="0.2">
      <c r="A99" s="79" t="s">
        <v>31</v>
      </c>
      <c r="B99" s="79">
        <v>5</v>
      </c>
      <c r="C99" s="80" t="s">
        <v>107</v>
      </c>
      <c r="D99" s="80"/>
    </row>
    <row r="100" spans="1:4" ht="13.5" x14ac:dyDescent="0.2">
      <c r="A100" s="79" t="s">
        <v>32</v>
      </c>
      <c r="B100" s="79">
        <v>4</v>
      </c>
      <c r="C100" s="80" t="s">
        <v>108</v>
      </c>
      <c r="D100" s="80"/>
    </row>
    <row r="101" spans="1:4" ht="13.5" x14ac:dyDescent="0.2">
      <c r="A101" s="79" t="s">
        <v>33</v>
      </c>
      <c r="B101" s="79">
        <v>4</v>
      </c>
      <c r="C101" s="80" t="s">
        <v>109</v>
      </c>
      <c r="D101" s="80"/>
    </row>
    <row r="102" spans="1:4" ht="13.5" x14ac:dyDescent="0.2">
      <c r="A102" s="79" t="s">
        <v>35</v>
      </c>
      <c r="B102" s="79">
        <v>1</v>
      </c>
      <c r="C102" s="80" t="s">
        <v>109</v>
      </c>
      <c r="D102" s="80"/>
    </row>
    <row r="103" spans="1:4" ht="13.5" x14ac:dyDescent="0.2">
      <c r="A103" s="79" t="s">
        <v>93</v>
      </c>
      <c r="B103" s="79">
        <v>6</v>
      </c>
      <c r="C103" s="80" t="s">
        <v>110</v>
      </c>
      <c r="D103" s="80"/>
    </row>
    <row r="104" spans="1:4" ht="27" x14ac:dyDescent="0.2">
      <c r="A104" s="79" t="s">
        <v>53</v>
      </c>
      <c r="B104" s="79">
        <v>3</v>
      </c>
      <c r="C104" s="80" t="s">
        <v>111</v>
      </c>
      <c r="D104" s="80"/>
    </row>
    <row r="105" spans="1:4" ht="13.5" x14ac:dyDescent="0.2">
      <c r="A105" s="79" t="s">
        <v>28</v>
      </c>
      <c r="B105" s="79">
        <v>2</v>
      </c>
      <c r="C105" s="80" t="s">
        <v>50</v>
      </c>
      <c r="D105" s="80"/>
    </row>
    <row r="106" spans="1:4" ht="13.5" x14ac:dyDescent="0.2">
      <c r="A106" s="79"/>
      <c r="B106" s="79"/>
      <c r="C106" s="80"/>
      <c r="D106" s="80"/>
    </row>
    <row r="107" spans="1:4" ht="14.25" thickBot="1" x14ac:dyDescent="0.25">
      <c r="A107" s="7"/>
      <c r="B107" s="7"/>
      <c r="C107" s="15"/>
      <c r="D107" s="15"/>
    </row>
    <row r="108" spans="1:4" ht="14.25" thickBot="1" x14ac:dyDescent="0.25">
      <c r="A108" s="16" t="s">
        <v>22</v>
      </c>
      <c r="B108" s="16">
        <f>SUM(B73:B107)</f>
        <v>90</v>
      </c>
      <c r="C108" s="83" t="s">
        <v>38</v>
      </c>
      <c r="D108" s="17"/>
    </row>
    <row r="109" spans="1:4" ht="15" thickBot="1" x14ac:dyDescent="0.35">
      <c r="A109" s="18"/>
      <c r="B109" s="18"/>
      <c r="C109" s="18"/>
      <c r="D109" s="18"/>
    </row>
    <row r="110" spans="1:4" ht="18.75" thickBot="1" x14ac:dyDescent="0.25">
      <c r="A110" s="10" t="s">
        <v>14</v>
      </c>
      <c r="B110" s="11">
        <v>4</v>
      </c>
      <c r="C110" s="31"/>
      <c r="D110" s="33"/>
    </row>
    <row r="111" spans="1:4" ht="27.75" thickBot="1" x14ac:dyDescent="0.25">
      <c r="A111" s="12" t="s">
        <v>3</v>
      </c>
      <c r="B111" s="32" t="s">
        <v>15</v>
      </c>
      <c r="C111" s="12" t="s">
        <v>7</v>
      </c>
      <c r="D111" s="12" t="s">
        <v>13</v>
      </c>
    </row>
    <row r="112" spans="1:4" ht="13.5" x14ac:dyDescent="0.2">
      <c r="A112" s="5" t="s">
        <v>62</v>
      </c>
      <c r="B112" s="6">
        <v>90</v>
      </c>
      <c r="C112" s="14" t="s">
        <v>63</v>
      </c>
      <c r="D112" s="14"/>
    </row>
    <row r="113" spans="1:4" ht="13.5" x14ac:dyDescent="0.2">
      <c r="A113" s="99"/>
      <c r="B113" s="100"/>
      <c r="C113" s="101"/>
      <c r="D113" s="101"/>
    </row>
    <row r="114" spans="1:4" ht="14.25" thickBot="1" x14ac:dyDescent="0.25">
      <c r="A114" s="6"/>
      <c r="B114" s="6"/>
      <c r="C114" s="14"/>
      <c r="D114" s="14"/>
    </row>
    <row r="115" spans="1:4" ht="14.25" thickBot="1" x14ac:dyDescent="0.25">
      <c r="A115" s="16" t="s">
        <v>22</v>
      </c>
      <c r="B115" s="16">
        <f>SUM(B112:B112)</f>
        <v>90</v>
      </c>
      <c r="C115" s="83" t="s">
        <v>38</v>
      </c>
      <c r="D115" s="17"/>
    </row>
    <row r="116" spans="1:4" ht="15" thickBot="1" x14ac:dyDescent="0.35">
      <c r="A116" s="18"/>
      <c r="B116" s="18"/>
      <c r="C116" s="18"/>
      <c r="D116" s="18"/>
    </row>
    <row r="117" spans="1:4" ht="18.75" thickBot="1" x14ac:dyDescent="0.25">
      <c r="A117" s="10" t="s">
        <v>14</v>
      </c>
      <c r="B117" s="11">
        <v>5</v>
      </c>
      <c r="C117" s="31"/>
      <c r="D117" s="33"/>
    </row>
    <row r="118" spans="1:4" ht="27.75" thickBot="1" x14ac:dyDescent="0.25">
      <c r="A118" s="12" t="s">
        <v>3</v>
      </c>
      <c r="B118" s="32" t="s">
        <v>15</v>
      </c>
      <c r="C118" s="12" t="s">
        <v>7</v>
      </c>
      <c r="D118" s="12" t="s">
        <v>13</v>
      </c>
    </row>
    <row r="119" spans="1:4" ht="15" thickBot="1" x14ac:dyDescent="0.25">
      <c r="A119" s="95"/>
      <c r="B119" s="96"/>
      <c r="C119" s="97" t="s">
        <v>112</v>
      </c>
      <c r="D119" s="98"/>
    </row>
    <row r="120" spans="1:4" ht="13.5" x14ac:dyDescent="0.2">
      <c r="A120" s="5" t="s">
        <v>93</v>
      </c>
      <c r="B120" s="6">
        <v>16</v>
      </c>
      <c r="C120" s="14" t="s">
        <v>114</v>
      </c>
      <c r="D120" s="14"/>
    </row>
    <row r="121" spans="1:4" ht="13.5" x14ac:dyDescent="0.2">
      <c r="A121" s="5" t="s">
        <v>72</v>
      </c>
      <c r="B121" s="6">
        <v>3</v>
      </c>
      <c r="C121" s="14" t="s">
        <v>115</v>
      </c>
      <c r="D121" s="14"/>
    </row>
    <row r="122" spans="1:4" ht="13.5" x14ac:dyDescent="0.2">
      <c r="A122" s="5" t="s">
        <v>31</v>
      </c>
      <c r="B122" s="6">
        <v>3</v>
      </c>
      <c r="C122" s="14" t="s">
        <v>116</v>
      </c>
      <c r="D122" s="14"/>
    </row>
    <row r="123" spans="1:4" ht="13.5" x14ac:dyDescent="0.2">
      <c r="A123" s="5" t="s">
        <v>32</v>
      </c>
      <c r="B123" s="6">
        <v>1</v>
      </c>
      <c r="C123" s="14" t="s">
        <v>116</v>
      </c>
      <c r="D123" s="14"/>
    </row>
    <row r="124" spans="1:4" ht="13.5" x14ac:dyDescent="0.2">
      <c r="A124" s="5" t="s">
        <v>33</v>
      </c>
      <c r="B124" s="6">
        <v>2</v>
      </c>
      <c r="C124" s="14" t="s">
        <v>116</v>
      </c>
      <c r="D124" s="14"/>
    </row>
    <row r="125" spans="1:4" ht="13.5" x14ac:dyDescent="0.2">
      <c r="A125" s="5" t="s">
        <v>28</v>
      </c>
      <c r="B125" s="6">
        <v>2</v>
      </c>
      <c r="C125" s="14" t="s">
        <v>113</v>
      </c>
      <c r="D125" s="14"/>
    </row>
    <row r="126" spans="1:4" ht="13.5" x14ac:dyDescent="0.2">
      <c r="A126" s="5"/>
      <c r="B126" s="6"/>
      <c r="C126" s="14"/>
      <c r="D126" s="14"/>
    </row>
    <row r="127" spans="1:4" ht="14.25" thickBot="1" x14ac:dyDescent="0.25">
      <c r="A127" s="5"/>
      <c r="B127" s="6"/>
      <c r="C127" s="14"/>
      <c r="D127" s="14"/>
    </row>
    <row r="128" spans="1:4" ht="15" thickBot="1" x14ac:dyDescent="0.25">
      <c r="A128" s="95"/>
      <c r="B128" s="96"/>
      <c r="C128" s="97" t="s">
        <v>118</v>
      </c>
      <c r="D128" s="98"/>
    </row>
    <row r="129" spans="1:4" ht="13.5" x14ac:dyDescent="0.2">
      <c r="A129" s="5" t="s">
        <v>93</v>
      </c>
      <c r="B129" s="6">
        <v>12</v>
      </c>
      <c r="C129" s="14" t="s">
        <v>117</v>
      </c>
      <c r="D129" s="14"/>
    </row>
    <row r="130" spans="1:4" ht="13.5" x14ac:dyDescent="0.2">
      <c r="A130" s="5"/>
      <c r="B130" s="6"/>
      <c r="C130" s="14"/>
      <c r="D130" s="14"/>
    </row>
    <row r="131" spans="1:4" ht="14.25" thickBot="1" x14ac:dyDescent="0.25">
      <c r="A131" s="5"/>
      <c r="B131" s="6"/>
      <c r="C131" s="14"/>
      <c r="D131" s="14"/>
    </row>
    <row r="132" spans="1:4" ht="15" thickBot="1" x14ac:dyDescent="0.25">
      <c r="A132" s="95"/>
      <c r="B132" s="96"/>
      <c r="C132" s="97" t="s">
        <v>119</v>
      </c>
      <c r="D132" s="98"/>
    </row>
    <row r="133" spans="1:4" ht="13.5" x14ac:dyDescent="0.2">
      <c r="A133" s="5" t="s">
        <v>93</v>
      </c>
      <c r="B133" s="6">
        <v>27</v>
      </c>
      <c r="C133" s="14" t="s">
        <v>117</v>
      </c>
      <c r="D133" s="14"/>
    </row>
    <row r="134" spans="1:4" ht="13.5" x14ac:dyDescent="0.2">
      <c r="A134" s="5"/>
      <c r="B134" s="6"/>
      <c r="C134" s="14"/>
      <c r="D134" s="14"/>
    </row>
    <row r="135" spans="1:4" ht="14.25" thickBot="1" x14ac:dyDescent="0.25">
      <c r="A135" s="5"/>
      <c r="B135" s="6"/>
      <c r="C135" s="14"/>
      <c r="D135" s="14"/>
    </row>
    <row r="136" spans="1:4" ht="15" thickBot="1" x14ac:dyDescent="0.25">
      <c r="A136" s="95"/>
      <c r="B136" s="96"/>
      <c r="C136" s="97" t="s">
        <v>106</v>
      </c>
      <c r="D136" s="98"/>
    </row>
    <row r="137" spans="1:4" ht="13.5" x14ac:dyDescent="0.2">
      <c r="A137" s="5" t="s">
        <v>93</v>
      </c>
      <c r="B137" s="6">
        <v>24</v>
      </c>
      <c r="C137" s="14" t="s">
        <v>117</v>
      </c>
      <c r="D137" s="14"/>
    </row>
    <row r="138" spans="1:4" ht="13.5" x14ac:dyDescent="0.2">
      <c r="A138" s="6"/>
      <c r="B138" s="6"/>
      <c r="C138" s="14"/>
      <c r="D138" s="14"/>
    </row>
    <row r="139" spans="1:4" ht="14.25" thickBot="1" x14ac:dyDescent="0.25">
      <c r="A139" s="7"/>
      <c r="B139" s="7"/>
      <c r="C139" s="15"/>
      <c r="D139" s="15"/>
    </row>
    <row r="140" spans="1:4" ht="14.25" thickBot="1" x14ac:dyDescent="0.25">
      <c r="A140" s="16" t="s">
        <v>22</v>
      </c>
      <c r="B140" s="16">
        <f>SUM(B119:B139)</f>
        <v>90</v>
      </c>
      <c r="C140" s="83" t="s">
        <v>38</v>
      </c>
      <c r="D140" s="17"/>
    </row>
    <row r="141" spans="1:4" ht="14.25" x14ac:dyDescent="0.3">
      <c r="A141" s="18"/>
      <c r="B141" s="18"/>
      <c r="C141" s="18"/>
      <c r="D141" s="18"/>
    </row>
    <row r="142" spans="1:4" x14ac:dyDescent="0.2">
      <c r="A142" s="84" t="s">
        <v>29</v>
      </c>
    </row>
  </sheetData>
  <sheetProtection insertRows="0" selectLockedCells="1"/>
  <dataValidations count="4">
    <dataValidation type="list" allowBlank="1" showInputMessage="1" showErrorMessage="1" sqref="A73:A107 A3:A31 A36:A68 A112:A114 A119:A139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2 B69 B108 B115 B140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73:B107 B3:B31 F41:F71 B112:B114 B36:B68 B119:B139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72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pageSetUpPr fitToPage="1"/>
  </sheetPr>
  <dimension ref="A1:I211"/>
  <sheetViews>
    <sheetView tabSelected="1" view="pageBreakPreview" topLeftCell="A101" zoomScale="115" zoomScaleNormal="100" zoomScaleSheetLayoutView="115" workbookViewId="0">
      <selection activeCell="B101" sqref="B101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42520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5" thickBot="1" x14ac:dyDescent="0.25">
      <c r="A3" s="86"/>
      <c r="B3" s="87"/>
      <c r="C3" s="88" t="s">
        <v>57</v>
      </c>
      <c r="D3" s="89"/>
    </row>
    <row r="4" spans="1:4" s="81" customFormat="1" ht="121.5" x14ac:dyDescent="0.2">
      <c r="A4" s="90" t="s">
        <v>36</v>
      </c>
      <c r="B4" s="91">
        <v>24</v>
      </c>
      <c r="C4" s="92" t="s">
        <v>47</v>
      </c>
      <c r="D4" s="93" t="s">
        <v>39</v>
      </c>
    </row>
    <row r="5" spans="1:4" s="81" customFormat="1" ht="40.5" x14ac:dyDescent="0.2">
      <c r="A5" s="5" t="s">
        <v>37</v>
      </c>
      <c r="B5" s="6">
        <v>3</v>
      </c>
      <c r="C5" s="14" t="s">
        <v>40</v>
      </c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4.25" thickBot="1" x14ac:dyDescent="0.25">
      <c r="A7" s="94"/>
      <c r="B7" s="79"/>
      <c r="C7" s="80"/>
      <c r="D7" s="80"/>
    </row>
    <row r="8" spans="1:4" s="81" customFormat="1" ht="15" thickBot="1" x14ac:dyDescent="0.25">
      <c r="A8" s="86"/>
      <c r="B8" s="87"/>
      <c r="C8" s="88" t="s">
        <v>58</v>
      </c>
      <c r="D8" s="89"/>
    </row>
    <row r="9" spans="1:4" s="81" customFormat="1" ht="13.5" x14ac:dyDescent="0.2">
      <c r="A9" s="90" t="s">
        <v>28</v>
      </c>
      <c r="B9" s="91">
        <v>9</v>
      </c>
      <c r="C9" s="92" t="s">
        <v>44</v>
      </c>
      <c r="D9" s="92"/>
    </row>
    <row r="10" spans="1:4" s="81" customFormat="1" ht="27" x14ac:dyDescent="0.2">
      <c r="A10" s="90" t="s">
        <v>53</v>
      </c>
      <c r="B10" s="91">
        <v>1</v>
      </c>
      <c r="C10" s="92" t="s">
        <v>121</v>
      </c>
      <c r="D10" s="93" t="s">
        <v>120</v>
      </c>
    </row>
    <row r="11" spans="1:4" s="81" customFormat="1" ht="54" x14ac:dyDescent="0.2">
      <c r="A11" s="5" t="s">
        <v>46</v>
      </c>
      <c r="B11" s="6">
        <v>2</v>
      </c>
      <c r="C11" s="14" t="s">
        <v>123</v>
      </c>
      <c r="D11" s="14" t="s">
        <v>49</v>
      </c>
    </row>
    <row r="12" spans="1:4" s="81" customFormat="1" ht="13.5" x14ac:dyDescent="0.2">
      <c r="A12" s="5"/>
      <c r="B12" s="6"/>
      <c r="C12" s="14"/>
      <c r="D12" s="14"/>
    </row>
    <row r="13" spans="1:4" s="81" customFormat="1" ht="14.25" thickBot="1" x14ac:dyDescent="0.25">
      <c r="A13" s="6"/>
      <c r="B13" s="6"/>
      <c r="C13" s="14"/>
      <c r="D13" s="14"/>
    </row>
    <row r="14" spans="1:4" s="81" customFormat="1" ht="15" thickBot="1" x14ac:dyDescent="0.25">
      <c r="A14" s="86"/>
      <c r="B14" s="87"/>
      <c r="C14" s="88" t="s">
        <v>59</v>
      </c>
      <c r="D14" s="89"/>
    </row>
    <row r="15" spans="1:4" s="81" customFormat="1" ht="40.5" x14ac:dyDescent="0.2">
      <c r="A15" s="6" t="s">
        <v>53</v>
      </c>
      <c r="B15" s="6">
        <v>4</v>
      </c>
      <c r="C15" s="14" t="s">
        <v>125</v>
      </c>
      <c r="D15" s="103" t="s">
        <v>120</v>
      </c>
    </row>
    <row r="16" spans="1:4" s="81" customFormat="1" ht="162" x14ac:dyDescent="0.2">
      <c r="A16" s="79" t="s">
        <v>46</v>
      </c>
      <c r="B16" s="79">
        <v>3</v>
      </c>
      <c r="C16" s="80" t="s">
        <v>127</v>
      </c>
      <c r="D16" s="14" t="s">
        <v>129</v>
      </c>
    </row>
    <row r="17" spans="1:4" s="81" customFormat="1" ht="27" x14ac:dyDescent="0.2">
      <c r="A17" s="79" t="s">
        <v>37</v>
      </c>
      <c r="B17" s="79">
        <v>1</v>
      </c>
      <c r="C17" s="80" t="s">
        <v>122</v>
      </c>
      <c r="D17" s="102" t="s">
        <v>39</v>
      </c>
    </row>
    <row r="18" spans="1:4" s="81" customFormat="1" ht="27" x14ac:dyDescent="0.2">
      <c r="A18" s="79" t="s">
        <v>28</v>
      </c>
      <c r="B18" s="79">
        <v>3</v>
      </c>
      <c r="C18" s="80" t="s">
        <v>131</v>
      </c>
      <c r="D18" s="80"/>
    </row>
    <row r="19" spans="1:4" s="81" customFormat="1" ht="40.5" x14ac:dyDescent="0.2">
      <c r="A19" s="79" t="s">
        <v>124</v>
      </c>
      <c r="B19" s="79">
        <v>2</v>
      </c>
      <c r="C19" s="80" t="s">
        <v>126</v>
      </c>
      <c r="D19" s="102" t="s">
        <v>120</v>
      </c>
    </row>
    <row r="20" spans="1:4" s="81" customFormat="1" ht="40.5" x14ac:dyDescent="0.2">
      <c r="A20" s="79" t="s">
        <v>30</v>
      </c>
      <c r="B20" s="79">
        <v>1</v>
      </c>
      <c r="C20" s="80" t="s">
        <v>130</v>
      </c>
      <c r="D20" s="102" t="s">
        <v>128</v>
      </c>
    </row>
    <row r="21" spans="1:4" s="81" customFormat="1" ht="13.5" x14ac:dyDescent="0.2">
      <c r="A21" s="79" t="s">
        <v>54</v>
      </c>
      <c r="B21" s="79">
        <v>2</v>
      </c>
      <c r="C21" s="80" t="s">
        <v>132</v>
      </c>
      <c r="D21" s="80"/>
    </row>
    <row r="22" spans="1:4" s="81" customFormat="1" ht="108" x14ac:dyDescent="0.2">
      <c r="A22" s="79" t="s">
        <v>31</v>
      </c>
      <c r="B22" s="79">
        <v>4</v>
      </c>
      <c r="C22" s="80" t="s">
        <v>141</v>
      </c>
      <c r="D22" s="80" t="s">
        <v>142</v>
      </c>
    </row>
    <row r="23" spans="1:4" s="81" customFormat="1" ht="94.5" x14ac:dyDescent="0.2">
      <c r="A23" s="79" t="s">
        <v>33</v>
      </c>
      <c r="B23" s="79">
        <v>3</v>
      </c>
      <c r="C23" s="80" t="s">
        <v>143</v>
      </c>
      <c r="D23" s="80" t="s">
        <v>144</v>
      </c>
    </row>
    <row r="24" spans="1:4" s="81" customFormat="1" ht="27" x14ac:dyDescent="0.2">
      <c r="A24" s="79" t="s">
        <v>35</v>
      </c>
      <c r="B24" s="79">
        <v>1</v>
      </c>
      <c r="C24" s="80" t="s">
        <v>133</v>
      </c>
      <c r="D24" s="80" t="s">
        <v>134</v>
      </c>
    </row>
    <row r="25" spans="1:4" s="81" customFormat="1" ht="27" x14ac:dyDescent="0.2">
      <c r="A25" s="79" t="s">
        <v>72</v>
      </c>
      <c r="B25" s="79">
        <v>3</v>
      </c>
      <c r="C25" s="80" t="s">
        <v>145</v>
      </c>
      <c r="D25" s="80"/>
    </row>
    <row r="26" spans="1:4" s="81" customFormat="1" ht="13.5" x14ac:dyDescent="0.2">
      <c r="A26" s="79"/>
      <c r="B26" s="79"/>
      <c r="C26" s="80"/>
      <c r="D26" s="80"/>
    </row>
    <row r="27" spans="1:4" s="81" customFormat="1" ht="14.25" thickBot="1" x14ac:dyDescent="0.25">
      <c r="A27" s="79"/>
      <c r="B27" s="79"/>
      <c r="C27" s="80"/>
      <c r="D27" s="80"/>
    </row>
    <row r="28" spans="1:4" s="81" customFormat="1" ht="15" thickBot="1" x14ac:dyDescent="0.25">
      <c r="A28" s="86"/>
      <c r="B28" s="87"/>
      <c r="C28" s="88" t="s">
        <v>60</v>
      </c>
      <c r="D28" s="89"/>
    </row>
    <row r="29" spans="1:4" s="81" customFormat="1" ht="81" x14ac:dyDescent="0.2">
      <c r="A29" s="79" t="s">
        <v>31</v>
      </c>
      <c r="B29" s="79">
        <v>3</v>
      </c>
      <c r="C29" s="80" t="s">
        <v>146</v>
      </c>
      <c r="D29" s="80" t="s">
        <v>147</v>
      </c>
    </row>
    <row r="30" spans="1:4" s="81" customFormat="1" ht="81" x14ac:dyDescent="0.2">
      <c r="A30" s="79" t="s">
        <v>33</v>
      </c>
      <c r="B30" s="79">
        <v>4</v>
      </c>
      <c r="C30" s="80" t="s">
        <v>148</v>
      </c>
      <c r="D30" s="80" t="s">
        <v>144</v>
      </c>
    </row>
    <row r="31" spans="1:4" s="81" customFormat="1" ht="27" x14ac:dyDescent="0.2">
      <c r="A31" s="79" t="s">
        <v>72</v>
      </c>
      <c r="B31" s="79">
        <v>5</v>
      </c>
      <c r="C31" s="80" t="s">
        <v>149</v>
      </c>
      <c r="D31" s="80"/>
    </row>
    <row r="32" spans="1:4" s="81" customFormat="1" ht="13.5" x14ac:dyDescent="0.2">
      <c r="A32" s="79" t="s">
        <v>21</v>
      </c>
      <c r="B32" s="79">
        <v>1</v>
      </c>
      <c r="C32" s="80" t="s">
        <v>150</v>
      </c>
      <c r="D32" s="80"/>
    </row>
    <row r="33" spans="1:9" s="81" customFormat="1" ht="81" x14ac:dyDescent="0.2">
      <c r="A33" s="79" t="s">
        <v>54</v>
      </c>
      <c r="B33" s="79">
        <v>4</v>
      </c>
      <c r="C33" s="80" t="s">
        <v>151</v>
      </c>
      <c r="D33" s="80"/>
    </row>
    <row r="34" spans="1:9" s="81" customFormat="1" ht="81" x14ac:dyDescent="0.2">
      <c r="A34" s="79" t="s">
        <v>135</v>
      </c>
      <c r="B34" s="79">
        <v>3</v>
      </c>
      <c r="C34" s="80" t="s">
        <v>152</v>
      </c>
      <c r="D34" s="80"/>
    </row>
    <row r="35" spans="1:9" s="81" customFormat="1" ht="27" x14ac:dyDescent="0.2">
      <c r="A35" s="79" t="s">
        <v>37</v>
      </c>
      <c r="B35" s="79">
        <v>1</v>
      </c>
      <c r="C35" s="80" t="s">
        <v>136</v>
      </c>
      <c r="D35" s="80"/>
    </row>
    <row r="36" spans="1:9" s="81" customFormat="1" ht="13.5" x14ac:dyDescent="0.2">
      <c r="A36" s="79" t="s">
        <v>28</v>
      </c>
      <c r="B36" s="79">
        <v>2</v>
      </c>
      <c r="C36" s="80" t="s">
        <v>50</v>
      </c>
      <c r="D36" s="80"/>
    </row>
    <row r="37" spans="1:9" s="81" customFormat="1" ht="13.5" x14ac:dyDescent="0.2">
      <c r="A37" s="79" t="s">
        <v>137</v>
      </c>
      <c r="B37" s="79">
        <v>1</v>
      </c>
      <c r="C37" s="80" t="s">
        <v>138</v>
      </c>
      <c r="D37" s="80"/>
    </row>
    <row r="38" spans="1:9" s="81" customFormat="1" ht="13.5" x14ac:dyDescent="0.2">
      <c r="A38" s="79"/>
      <c r="B38" s="79"/>
      <c r="C38" s="80"/>
      <c r="D38" s="80"/>
    </row>
    <row r="39" spans="1:9" s="81" customFormat="1" ht="14.25" thickBot="1" x14ac:dyDescent="0.25">
      <c r="A39" s="7"/>
      <c r="B39" s="7"/>
      <c r="C39" s="15"/>
      <c r="D39" s="15"/>
    </row>
    <row r="40" spans="1:9" ht="14.25" thickBot="1" x14ac:dyDescent="0.25">
      <c r="A40" s="76" t="s">
        <v>22</v>
      </c>
      <c r="B40" s="76">
        <f>SUM(B3:B39)</f>
        <v>90</v>
      </c>
      <c r="C40" s="85" t="s">
        <v>38</v>
      </c>
      <c r="D40" s="77"/>
    </row>
    <row r="41" spans="1:9" ht="15" thickBot="1" x14ac:dyDescent="0.35">
      <c r="A41" s="78"/>
      <c r="B41" s="78"/>
      <c r="C41" s="78"/>
      <c r="D41" s="78"/>
    </row>
    <row r="42" spans="1:9" ht="18.75" thickBot="1" x14ac:dyDescent="0.25">
      <c r="A42" s="71" t="s">
        <v>14</v>
      </c>
      <c r="B42" s="72">
        <v>2</v>
      </c>
      <c r="C42" s="73" t="s">
        <v>23</v>
      </c>
      <c r="D42" s="82">
        <v>42527</v>
      </c>
    </row>
    <row r="43" spans="1:9" ht="27.75" thickBot="1" x14ac:dyDescent="0.25">
      <c r="A43" s="74" t="s">
        <v>3</v>
      </c>
      <c r="B43" s="75" t="s">
        <v>15</v>
      </c>
      <c r="C43" s="74" t="s">
        <v>7</v>
      </c>
      <c r="D43" s="74" t="s">
        <v>13</v>
      </c>
    </row>
    <row r="44" spans="1:9" ht="15" thickBot="1" x14ac:dyDescent="0.25">
      <c r="A44" s="86"/>
      <c r="B44" s="87"/>
      <c r="C44" s="88" t="s">
        <v>74</v>
      </c>
      <c r="D44" s="89"/>
    </row>
    <row r="45" spans="1:9" ht="81" x14ac:dyDescent="0.2">
      <c r="A45" s="5" t="s">
        <v>30</v>
      </c>
      <c r="B45" s="6">
        <v>2</v>
      </c>
      <c r="C45" s="14" t="s">
        <v>153</v>
      </c>
      <c r="D45" s="104" t="s">
        <v>162</v>
      </c>
    </row>
    <row r="46" spans="1:9" ht="27" x14ac:dyDescent="0.2">
      <c r="A46" s="5" t="s">
        <v>34</v>
      </c>
      <c r="B46" s="6">
        <v>2</v>
      </c>
      <c r="C46" s="14" t="s">
        <v>161</v>
      </c>
      <c r="D46" s="14"/>
      <c r="E46" s="37"/>
      <c r="F46" s="37"/>
      <c r="G46" s="37"/>
      <c r="H46" s="37"/>
      <c r="I46" s="37"/>
    </row>
    <row r="47" spans="1:9" ht="108" x14ac:dyDescent="0.2">
      <c r="A47" s="5" t="s">
        <v>46</v>
      </c>
      <c r="B47" s="6">
        <v>3</v>
      </c>
      <c r="C47" s="14" t="s">
        <v>154</v>
      </c>
      <c r="D47" s="14" t="s">
        <v>129</v>
      </c>
      <c r="E47" s="37"/>
      <c r="F47" s="54"/>
      <c r="G47" s="55"/>
      <c r="H47" s="56"/>
      <c r="I47" s="37"/>
    </row>
    <row r="48" spans="1:9" ht="81" x14ac:dyDescent="0.2">
      <c r="A48" s="5" t="s">
        <v>77</v>
      </c>
      <c r="B48" s="6">
        <v>4</v>
      </c>
      <c r="C48" s="14" t="s">
        <v>160</v>
      </c>
      <c r="D48" s="14" t="s">
        <v>139</v>
      </c>
      <c r="E48" s="37"/>
      <c r="F48" s="57"/>
      <c r="G48" s="53"/>
      <c r="H48" s="53"/>
      <c r="I48" s="37"/>
    </row>
    <row r="49" spans="1:9" ht="81" x14ac:dyDescent="0.2">
      <c r="A49" s="5" t="s">
        <v>33</v>
      </c>
      <c r="B49" s="6">
        <v>3</v>
      </c>
      <c r="C49" s="14" t="s">
        <v>157</v>
      </c>
      <c r="D49" s="14" t="s">
        <v>158</v>
      </c>
      <c r="E49" s="37"/>
      <c r="F49" s="59"/>
      <c r="G49" s="60"/>
      <c r="H49" s="60"/>
      <c r="I49" s="37"/>
    </row>
    <row r="50" spans="1:9" ht="13.5" x14ac:dyDescent="0.2">
      <c r="A50" s="5" t="s">
        <v>155</v>
      </c>
      <c r="B50" s="6">
        <v>3</v>
      </c>
      <c r="C50" s="14" t="s">
        <v>156</v>
      </c>
      <c r="D50" s="14"/>
      <c r="E50" s="37"/>
      <c r="F50" s="59"/>
      <c r="G50" s="60"/>
      <c r="H50" s="60"/>
      <c r="I50" s="37"/>
    </row>
    <row r="51" spans="1:9" ht="40.5" x14ac:dyDescent="0.2">
      <c r="A51" s="5" t="s">
        <v>31</v>
      </c>
      <c r="B51" s="6">
        <v>5</v>
      </c>
      <c r="C51" s="14" t="s">
        <v>159</v>
      </c>
      <c r="D51" s="14"/>
      <c r="E51" s="37"/>
      <c r="F51" s="59"/>
      <c r="G51" s="60"/>
      <c r="H51" s="60"/>
      <c r="I51" s="37"/>
    </row>
    <row r="52" spans="1:9" ht="13.5" x14ac:dyDescent="0.2">
      <c r="A52" s="5" t="s">
        <v>72</v>
      </c>
      <c r="B52" s="6">
        <v>3</v>
      </c>
      <c r="C52" s="14" t="s">
        <v>101</v>
      </c>
      <c r="D52" s="14"/>
      <c r="E52" s="37"/>
      <c r="F52" s="59"/>
      <c r="G52" s="60"/>
      <c r="H52" s="60"/>
      <c r="I52" s="37"/>
    </row>
    <row r="53" spans="1:9" ht="13.5" x14ac:dyDescent="0.2">
      <c r="A53" s="79" t="s">
        <v>28</v>
      </c>
      <c r="B53" s="79">
        <v>2</v>
      </c>
      <c r="C53" s="80" t="s">
        <v>50</v>
      </c>
      <c r="D53" s="80"/>
      <c r="E53" s="37"/>
      <c r="F53" s="59"/>
      <c r="G53" s="60"/>
      <c r="H53" s="60"/>
      <c r="I53" s="37"/>
    </row>
    <row r="54" spans="1:9" ht="13.5" x14ac:dyDescent="0.2">
      <c r="A54" s="79"/>
      <c r="B54" s="79"/>
      <c r="C54" s="80"/>
      <c r="D54" s="80"/>
      <c r="E54" s="37"/>
      <c r="F54" s="61"/>
      <c r="G54" s="62"/>
      <c r="H54" s="62"/>
      <c r="I54" s="37"/>
    </row>
    <row r="55" spans="1:9" ht="14.25" thickBot="1" x14ac:dyDescent="0.25">
      <c r="A55" s="79"/>
      <c r="B55" s="79"/>
      <c r="C55" s="80"/>
      <c r="D55" s="80"/>
      <c r="E55" s="37"/>
      <c r="F55" s="61"/>
      <c r="G55" s="62"/>
      <c r="H55" s="62"/>
      <c r="I55" s="37"/>
    </row>
    <row r="56" spans="1:9" ht="15" thickBot="1" x14ac:dyDescent="0.25">
      <c r="A56" s="86"/>
      <c r="B56" s="87"/>
      <c r="C56" s="88" t="s">
        <v>98</v>
      </c>
      <c r="D56" s="89"/>
      <c r="E56" s="37"/>
      <c r="F56" s="61"/>
      <c r="G56" s="62"/>
      <c r="H56" s="62"/>
      <c r="I56" s="37"/>
    </row>
    <row r="57" spans="1:9" ht="13.5" x14ac:dyDescent="0.2">
      <c r="A57" s="79"/>
      <c r="B57" s="79"/>
      <c r="C57" s="80"/>
      <c r="D57" s="80"/>
      <c r="E57" s="37"/>
      <c r="F57" s="61"/>
      <c r="G57" s="62"/>
      <c r="H57" s="62"/>
      <c r="I57" s="37"/>
    </row>
    <row r="58" spans="1:9" ht="13.5" x14ac:dyDescent="0.2">
      <c r="A58" s="79"/>
      <c r="B58" s="79"/>
      <c r="C58" s="80"/>
      <c r="D58" s="80"/>
      <c r="E58" s="37"/>
      <c r="F58" s="61"/>
      <c r="G58" s="62"/>
      <c r="H58" s="62"/>
      <c r="I58" s="37"/>
    </row>
    <row r="59" spans="1:9" ht="13.5" x14ac:dyDescent="0.2">
      <c r="A59" s="79"/>
      <c r="B59" s="79"/>
      <c r="C59" s="80"/>
      <c r="D59" s="80"/>
      <c r="E59" s="37"/>
      <c r="F59" s="61"/>
      <c r="G59" s="62"/>
      <c r="H59" s="62"/>
      <c r="I59" s="37"/>
    </row>
    <row r="60" spans="1:9" ht="13.5" x14ac:dyDescent="0.2">
      <c r="A60" s="79"/>
      <c r="B60" s="79"/>
      <c r="C60" s="80"/>
      <c r="D60" s="80"/>
      <c r="E60" s="37"/>
      <c r="F60" s="61"/>
      <c r="G60" s="62"/>
      <c r="H60" s="62"/>
      <c r="I60" s="37"/>
    </row>
    <row r="61" spans="1:9" ht="13.5" x14ac:dyDescent="0.2">
      <c r="A61" s="79"/>
      <c r="B61" s="79"/>
      <c r="C61" s="80"/>
      <c r="D61" s="80"/>
      <c r="E61" s="37"/>
      <c r="F61" s="61"/>
      <c r="G61" s="62"/>
      <c r="H61" s="62"/>
      <c r="I61" s="37"/>
    </row>
    <row r="62" spans="1:9" ht="13.5" x14ac:dyDescent="0.2">
      <c r="A62" s="79"/>
      <c r="B62" s="79"/>
      <c r="C62" s="80"/>
      <c r="D62" s="80"/>
      <c r="E62" s="37"/>
      <c r="F62" s="61"/>
      <c r="G62" s="62"/>
      <c r="H62" s="62"/>
      <c r="I62" s="37"/>
    </row>
    <row r="63" spans="1:9" ht="13.5" x14ac:dyDescent="0.2">
      <c r="A63" s="79"/>
      <c r="B63" s="79"/>
      <c r="C63" s="80"/>
      <c r="D63" s="80"/>
      <c r="E63" s="37"/>
      <c r="F63" s="61"/>
      <c r="G63" s="62"/>
      <c r="H63" s="62"/>
      <c r="I63" s="37"/>
    </row>
    <row r="64" spans="1:9" ht="13.5" x14ac:dyDescent="0.2">
      <c r="A64" s="79"/>
      <c r="B64" s="79"/>
      <c r="C64" s="80"/>
      <c r="D64" s="80"/>
      <c r="E64" s="37"/>
      <c r="F64" s="61"/>
      <c r="G64" s="62"/>
      <c r="H64" s="62"/>
      <c r="I64" s="37"/>
    </row>
    <row r="65" spans="1:9" ht="13.5" x14ac:dyDescent="0.2">
      <c r="A65" s="79"/>
      <c r="B65" s="79"/>
      <c r="C65" s="80"/>
      <c r="D65" s="80"/>
      <c r="E65" s="37"/>
      <c r="F65" s="61"/>
      <c r="G65" s="62"/>
      <c r="H65" s="62"/>
      <c r="I65" s="37"/>
    </row>
    <row r="66" spans="1:9" ht="13.5" x14ac:dyDescent="0.2">
      <c r="A66" s="79"/>
      <c r="B66" s="79"/>
      <c r="C66" s="80"/>
      <c r="D66" s="80"/>
      <c r="E66" s="37"/>
      <c r="F66" s="61"/>
      <c r="G66" s="62"/>
      <c r="H66" s="62"/>
      <c r="I66" s="37"/>
    </row>
    <row r="67" spans="1:9" ht="13.5" x14ac:dyDescent="0.2">
      <c r="A67" s="79"/>
      <c r="B67" s="79"/>
      <c r="C67" s="80"/>
      <c r="D67" s="80"/>
      <c r="E67" s="37"/>
      <c r="F67" s="61"/>
      <c r="G67" s="62"/>
      <c r="H67" s="62"/>
      <c r="I67" s="37"/>
    </row>
    <row r="68" spans="1:9" ht="13.5" x14ac:dyDescent="0.2">
      <c r="A68" s="79"/>
      <c r="B68" s="79"/>
      <c r="C68" s="80"/>
      <c r="D68" s="80"/>
      <c r="E68" s="37"/>
      <c r="F68" s="61"/>
      <c r="G68" s="62"/>
      <c r="H68" s="62"/>
      <c r="I68" s="37"/>
    </row>
    <row r="69" spans="1:9" ht="13.5" x14ac:dyDescent="0.2">
      <c r="A69" s="79"/>
      <c r="B69" s="79"/>
      <c r="C69" s="80"/>
      <c r="D69" s="80"/>
      <c r="E69" s="37"/>
      <c r="F69" s="61"/>
      <c r="G69" s="62"/>
      <c r="H69" s="62"/>
      <c r="I69" s="37"/>
    </row>
    <row r="70" spans="1:9" ht="13.5" x14ac:dyDescent="0.2">
      <c r="A70" s="79"/>
      <c r="B70" s="79"/>
      <c r="C70" s="80"/>
      <c r="D70" s="80"/>
      <c r="E70" s="37"/>
      <c r="F70" s="61"/>
      <c r="G70" s="62"/>
      <c r="H70" s="62"/>
      <c r="I70" s="37"/>
    </row>
    <row r="71" spans="1:9" ht="13.5" x14ac:dyDescent="0.2">
      <c r="A71" s="79"/>
      <c r="B71" s="79"/>
      <c r="C71" s="80"/>
      <c r="D71" s="80"/>
      <c r="E71" s="37"/>
      <c r="F71" s="61"/>
      <c r="G71" s="62"/>
      <c r="H71" s="62"/>
      <c r="I71" s="37"/>
    </row>
    <row r="72" spans="1:9" ht="13.5" x14ac:dyDescent="0.2">
      <c r="A72" s="79"/>
      <c r="B72" s="79"/>
      <c r="C72" s="80"/>
      <c r="D72" s="80"/>
      <c r="E72" s="37"/>
      <c r="F72" s="61"/>
      <c r="G72" s="62"/>
      <c r="H72" s="62"/>
      <c r="I72" s="37"/>
    </row>
    <row r="73" spans="1:9" ht="13.5" x14ac:dyDescent="0.2">
      <c r="A73" s="79"/>
      <c r="B73" s="79"/>
      <c r="C73" s="80"/>
      <c r="D73" s="80"/>
      <c r="E73" s="37"/>
      <c r="F73" s="61"/>
      <c r="G73" s="62"/>
      <c r="H73" s="62"/>
      <c r="I73" s="37"/>
    </row>
    <row r="74" spans="1:9" ht="14.25" thickBot="1" x14ac:dyDescent="0.25">
      <c r="A74" s="79"/>
      <c r="B74" s="79"/>
      <c r="C74" s="80"/>
      <c r="D74" s="80"/>
      <c r="E74" s="37"/>
      <c r="F74" s="61"/>
      <c r="G74" s="62"/>
      <c r="H74" s="62"/>
      <c r="I74" s="37"/>
    </row>
    <row r="75" spans="1:9" ht="15" thickBot="1" x14ac:dyDescent="0.25">
      <c r="A75" s="86"/>
      <c r="B75" s="87"/>
      <c r="C75" s="88" t="s">
        <v>75</v>
      </c>
      <c r="D75" s="89"/>
      <c r="E75" s="37"/>
      <c r="F75" s="61"/>
      <c r="G75" s="62"/>
      <c r="H75" s="62"/>
      <c r="I75" s="37"/>
    </row>
    <row r="76" spans="1:9" ht="94.5" x14ac:dyDescent="0.2">
      <c r="A76" s="79" t="s">
        <v>31</v>
      </c>
      <c r="B76" s="79">
        <v>7</v>
      </c>
      <c r="C76" s="80" t="s">
        <v>169</v>
      </c>
      <c r="D76" s="80" t="s">
        <v>172</v>
      </c>
      <c r="E76" s="37"/>
      <c r="F76" s="61"/>
      <c r="G76" s="62"/>
      <c r="H76" s="62"/>
      <c r="I76" s="37"/>
    </row>
    <row r="77" spans="1:9" ht="94.5" x14ac:dyDescent="0.2">
      <c r="A77" s="79" t="s">
        <v>34</v>
      </c>
      <c r="B77" s="79">
        <v>3</v>
      </c>
      <c r="C77" s="80" t="s">
        <v>170</v>
      </c>
      <c r="D77" s="80" t="s">
        <v>171</v>
      </c>
      <c r="E77" s="37"/>
      <c r="F77" s="61"/>
      <c r="G77" s="62"/>
      <c r="H77" s="62"/>
      <c r="I77" s="37"/>
    </row>
    <row r="78" spans="1:9" ht="27" x14ac:dyDescent="0.2">
      <c r="A78" s="79" t="s">
        <v>32</v>
      </c>
      <c r="B78" s="79">
        <v>2</v>
      </c>
      <c r="C78" s="80" t="s">
        <v>167</v>
      </c>
      <c r="D78" s="80" t="s">
        <v>168</v>
      </c>
      <c r="E78" s="37"/>
      <c r="F78" s="61"/>
      <c r="G78" s="62"/>
      <c r="H78" s="62"/>
      <c r="I78" s="37"/>
    </row>
    <row r="79" spans="1:9" ht="189" x14ac:dyDescent="0.2">
      <c r="A79" s="79" t="s">
        <v>77</v>
      </c>
      <c r="B79" s="79">
        <v>8</v>
      </c>
      <c r="C79" s="80" t="s">
        <v>165</v>
      </c>
      <c r="D79" s="80" t="s">
        <v>166</v>
      </c>
      <c r="E79" s="37"/>
      <c r="F79" s="61"/>
      <c r="G79" s="62"/>
      <c r="H79" s="62"/>
      <c r="I79" s="37"/>
    </row>
    <row r="80" spans="1:9" ht="13.5" x14ac:dyDescent="0.2">
      <c r="A80" s="79" t="s">
        <v>21</v>
      </c>
      <c r="B80" s="79">
        <v>4</v>
      </c>
      <c r="C80" s="80" t="s">
        <v>164</v>
      </c>
      <c r="D80" s="80"/>
      <c r="E80" s="37"/>
      <c r="F80" s="61"/>
      <c r="G80" s="62"/>
      <c r="H80" s="62"/>
      <c r="I80" s="37"/>
    </row>
    <row r="81" spans="1:9" ht="13.5" x14ac:dyDescent="0.2">
      <c r="A81" s="79" t="s">
        <v>135</v>
      </c>
      <c r="B81" s="79">
        <v>1</v>
      </c>
      <c r="C81" s="80" t="s">
        <v>163</v>
      </c>
      <c r="D81" s="80"/>
      <c r="E81" s="37"/>
      <c r="F81" s="61"/>
      <c r="G81" s="62"/>
      <c r="H81" s="62"/>
      <c r="I81" s="37"/>
    </row>
    <row r="82" spans="1:9" ht="13.5" x14ac:dyDescent="0.2">
      <c r="A82" s="79" t="s">
        <v>28</v>
      </c>
      <c r="B82" s="79">
        <v>2</v>
      </c>
      <c r="C82" s="80" t="s">
        <v>50</v>
      </c>
      <c r="D82" s="80"/>
      <c r="E82" s="37"/>
      <c r="F82" s="61"/>
      <c r="G82" s="62"/>
      <c r="H82" s="62"/>
      <c r="I82" s="37"/>
    </row>
    <row r="83" spans="1:9" ht="13.5" x14ac:dyDescent="0.2">
      <c r="A83" s="79"/>
      <c r="B83" s="79"/>
      <c r="C83" s="80"/>
      <c r="D83" s="80"/>
      <c r="E83" s="37"/>
      <c r="F83" s="61"/>
      <c r="G83" s="62"/>
      <c r="H83" s="62"/>
      <c r="I83" s="37"/>
    </row>
    <row r="84" spans="1:9" ht="14.25" thickBot="1" x14ac:dyDescent="0.25">
      <c r="A84" s="79"/>
      <c r="B84" s="79"/>
      <c r="C84" s="80"/>
      <c r="D84" s="80"/>
      <c r="E84" s="37"/>
      <c r="F84" s="61"/>
      <c r="G84" s="62"/>
      <c r="H84" s="62"/>
      <c r="I84" s="37"/>
    </row>
    <row r="85" spans="1:9" ht="15" thickBot="1" x14ac:dyDescent="0.25">
      <c r="A85" s="86"/>
      <c r="B85" s="87"/>
      <c r="C85" s="88" t="s">
        <v>76</v>
      </c>
      <c r="D85" s="89"/>
      <c r="E85" s="37"/>
      <c r="F85" s="61"/>
      <c r="G85" s="62"/>
      <c r="H85" s="62"/>
      <c r="I85" s="37"/>
    </row>
    <row r="86" spans="1:9" ht="13.5" x14ac:dyDescent="0.2">
      <c r="A86" s="79" t="s">
        <v>21</v>
      </c>
      <c r="B86" s="79">
        <v>24</v>
      </c>
      <c r="C86" s="80" t="s">
        <v>173</v>
      </c>
      <c r="D86" s="80"/>
      <c r="E86" s="37"/>
      <c r="F86" s="61"/>
      <c r="G86" s="62"/>
      <c r="H86" s="62"/>
      <c r="I86" s="37"/>
    </row>
    <row r="87" spans="1:9" ht="13.5" x14ac:dyDescent="0.2">
      <c r="A87" s="79"/>
      <c r="B87" s="79"/>
      <c r="C87" s="80"/>
      <c r="D87" s="80"/>
      <c r="E87" s="37"/>
      <c r="F87" s="61"/>
      <c r="G87" s="62"/>
      <c r="H87" s="62"/>
      <c r="I87" s="37"/>
    </row>
    <row r="88" spans="1:9" ht="14.25" thickBot="1" x14ac:dyDescent="0.25">
      <c r="A88" s="79"/>
      <c r="B88" s="79"/>
      <c r="C88" s="80"/>
      <c r="D88" s="80"/>
      <c r="E88" s="37"/>
      <c r="F88" s="61"/>
      <c r="G88" s="62"/>
      <c r="H88" s="62"/>
      <c r="I88" s="37"/>
    </row>
    <row r="89" spans="1:9" ht="14.25" thickBot="1" x14ac:dyDescent="0.25">
      <c r="A89" s="76" t="s">
        <v>22</v>
      </c>
      <c r="B89" s="76">
        <f>SUM(B44:B88)</f>
        <v>78</v>
      </c>
      <c r="C89" s="85" t="s">
        <v>38</v>
      </c>
      <c r="D89" s="77"/>
      <c r="E89" s="37"/>
      <c r="F89" s="37"/>
      <c r="G89" s="37"/>
      <c r="H89" s="37"/>
      <c r="I89" s="37"/>
    </row>
    <row r="90" spans="1:9" ht="15" thickBot="1" x14ac:dyDescent="0.35">
      <c r="A90" s="78"/>
      <c r="B90" s="78"/>
      <c r="C90" s="78"/>
      <c r="D90" s="78"/>
      <c r="E90" s="37"/>
      <c r="F90" s="37"/>
      <c r="G90" s="37"/>
      <c r="H90" s="37"/>
      <c r="I90" s="37"/>
    </row>
    <row r="91" spans="1:9" ht="18.75" thickBot="1" x14ac:dyDescent="0.25">
      <c r="A91" s="71" t="s">
        <v>14</v>
      </c>
      <c r="B91" s="72">
        <v>3</v>
      </c>
      <c r="C91" s="73" t="s">
        <v>23</v>
      </c>
      <c r="D91" s="82">
        <v>42534</v>
      </c>
      <c r="E91" s="37"/>
      <c r="F91" s="37"/>
      <c r="G91" s="37"/>
      <c r="H91" s="37"/>
      <c r="I91" s="37"/>
    </row>
    <row r="92" spans="1:9" ht="27.75" thickBot="1" x14ac:dyDescent="0.25">
      <c r="A92" s="74" t="s">
        <v>3</v>
      </c>
      <c r="B92" s="75" t="s">
        <v>15</v>
      </c>
      <c r="C92" s="74" t="s">
        <v>7</v>
      </c>
      <c r="D92" s="74" t="s">
        <v>13</v>
      </c>
    </row>
    <row r="93" spans="1:9" ht="15" thickBot="1" x14ac:dyDescent="0.25">
      <c r="A93" s="86"/>
      <c r="B93" s="87"/>
      <c r="C93" s="88" t="s">
        <v>88</v>
      </c>
      <c r="D93" s="89"/>
    </row>
    <row r="94" spans="1:9" ht="94.5" x14ac:dyDescent="0.2">
      <c r="A94" s="5" t="s">
        <v>174</v>
      </c>
      <c r="B94" s="6">
        <v>22</v>
      </c>
      <c r="C94" s="14" t="s">
        <v>175</v>
      </c>
      <c r="D94" s="14"/>
    </row>
    <row r="95" spans="1:9" ht="13.5" x14ac:dyDescent="0.2">
      <c r="A95" s="5" t="s">
        <v>140</v>
      </c>
      <c r="B95" s="6">
        <v>3</v>
      </c>
      <c r="C95" s="14" t="s">
        <v>176</v>
      </c>
      <c r="D95" s="14"/>
    </row>
    <row r="96" spans="1:9" ht="27" x14ac:dyDescent="0.2">
      <c r="A96" s="5" t="s">
        <v>37</v>
      </c>
      <c r="B96" s="6">
        <v>1</v>
      </c>
      <c r="C96" s="14" t="s">
        <v>177</v>
      </c>
      <c r="D96" s="14"/>
    </row>
    <row r="97" spans="1:4" ht="13.5" x14ac:dyDescent="0.2">
      <c r="A97" s="5" t="s">
        <v>28</v>
      </c>
      <c r="B97" s="6">
        <v>1</v>
      </c>
      <c r="C97" s="14" t="s">
        <v>50</v>
      </c>
      <c r="D97" s="14"/>
    </row>
    <row r="98" spans="1:4" ht="13.5" x14ac:dyDescent="0.2">
      <c r="A98" s="5"/>
      <c r="B98" s="6"/>
      <c r="C98" s="14"/>
      <c r="D98" s="14"/>
    </row>
    <row r="99" spans="1:4" ht="14.25" thickBot="1" x14ac:dyDescent="0.25">
      <c r="A99" s="5"/>
      <c r="B99" s="6"/>
      <c r="C99" s="14"/>
      <c r="D99" s="14"/>
    </row>
    <row r="100" spans="1:4" ht="15" thickBot="1" x14ac:dyDescent="0.25">
      <c r="A100" s="86"/>
      <c r="B100" s="87"/>
      <c r="C100" s="88" t="s">
        <v>97</v>
      </c>
      <c r="D100" s="89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5"/>
      <c r="B107" s="6"/>
      <c r="C107" s="14"/>
      <c r="D107" s="14"/>
    </row>
    <row r="108" spans="1:4" ht="13.5" x14ac:dyDescent="0.2">
      <c r="A108" s="5"/>
      <c r="B108" s="6"/>
      <c r="C108" s="14"/>
      <c r="D108" s="14"/>
    </row>
    <row r="109" spans="1:4" ht="13.5" x14ac:dyDescent="0.2">
      <c r="A109" s="5"/>
      <c r="B109" s="6"/>
      <c r="C109" s="14"/>
      <c r="D109" s="14"/>
    </row>
    <row r="110" spans="1:4" ht="13.5" x14ac:dyDescent="0.2">
      <c r="A110" s="5"/>
      <c r="B110" s="6"/>
      <c r="C110" s="14"/>
      <c r="D110" s="14"/>
    </row>
    <row r="111" spans="1:4" ht="13.5" x14ac:dyDescent="0.2">
      <c r="A111" s="5"/>
      <c r="B111" s="6"/>
      <c r="C111" s="14"/>
      <c r="D111" s="14"/>
    </row>
    <row r="112" spans="1:4" ht="13.5" x14ac:dyDescent="0.2">
      <c r="A112" s="5"/>
      <c r="B112" s="6"/>
      <c r="C112" s="14"/>
      <c r="D112" s="14"/>
    </row>
    <row r="113" spans="1:4" ht="13.5" x14ac:dyDescent="0.2">
      <c r="A113" s="5"/>
      <c r="B113" s="6"/>
      <c r="C113" s="14"/>
      <c r="D113" s="14"/>
    </row>
    <row r="114" spans="1:4" ht="13.5" x14ac:dyDescent="0.2">
      <c r="A114" s="5"/>
      <c r="B114" s="6"/>
      <c r="C114" s="14"/>
      <c r="D114" s="14"/>
    </row>
    <row r="115" spans="1:4" ht="13.5" x14ac:dyDescent="0.2">
      <c r="A115" s="5"/>
      <c r="B115" s="6"/>
      <c r="C115" s="14"/>
      <c r="D115" s="14"/>
    </row>
    <row r="116" spans="1:4" ht="13.5" x14ac:dyDescent="0.2">
      <c r="A116" s="5"/>
      <c r="B116" s="6"/>
      <c r="C116" s="14"/>
      <c r="D116" s="14"/>
    </row>
    <row r="117" spans="1:4" ht="13.5" x14ac:dyDescent="0.2">
      <c r="A117" s="5" t="s">
        <v>28</v>
      </c>
      <c r="B117" s="6">
        <v>1</v>
      </c>
      <c r="C117" s="14" t="s">
        <v>50</v>
      </c>
      <c r="D117" s="14"/>
    </row>
    <row r="118" spans="1:4" ht="13.5" x14ac:dyDescent="0.2">
      <c r="A118" s="5"/>
      <c r="B118" s="6"/>
      <c r="C118" s="14"/>
      <c r="D118" s="14"/>
    </row>
    <row r="119" spans="1:4" ht="14.25" thickBot="1" x14ac:dyDescent="0.25">
      <c r="A119" s="5"/>
      <c r="B119" s="6"/>
      <c r="C119" s="14"/>
      <c r="D119" s="14"/>
    </row>
    <row r="120" spans="1:4" ht="15" thickBot="1" x14ac:dyDescent="0.25">
      <c r="A120" s="86"/>
      <c r="B120" s="87"/>
      <c r="C120" s="88" t="s">
        <v>102</v>
      </c>
      <c r="D120" s="89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5"/>
      <c r="B126" s="6"/>
      <c r="C126" s="14"/>
      <c r="D126" s="14"/>
    </row>
    <row r="127" spans="1:4" ht="13.5" x14ac:dyDescent="0.2">
      <c r="A127" s="5"/>
      <c r="B127" s="6"/>
      <c r="C127" s="14"/>
      <c r="D127" s="14"/>
    </row>
    <row r="128" spans="1:4" ht="13.5" x14ac:dyDescent="0.2">
      <c r="A128" s="5"/>
      <c r="B128" s="6"/>
      <c r="C128" s="14"/>
      <c r="D128" s="14"/>
    </row>
    <row r="129" spans="1:4" ht="13.5" x14ac:dyDescent="0.2">
      <c r="A129" s="5"/>
      <c r="B129" s="6"/>
      <c r="C129" s="14"/>
      <c r="D129" s="14"/>
    </row>
    <row r="130" spans="1:4" ht="13.5" x14ac:dyDescent="0.2">
      <c r="A130" s="5"/>
      <c r="B130" s="6"/>
      <c r="C130" s="14"/>
      <c r="D130" s="14"/>
    </row>
    <row r="131" spans="1:4" ht="13.5" x14ac:dyDescent="0.2">
      <c r="A131" s="5"/>
      <c r="B131" s="6"/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5"/>
      <c r="B135" s="6"/>
      <c r="C135" s="14"/>
      <c r="D135" s="14"/>
    </row>
    <row r="136" spans="1:4" ht="13.5" x14ac:dyDescent="0.2">
      <c r="A136" s="5"/>
      <c r="B136" s="6"/>
      <c r="C136" s="14"/>
      <c r="D136" s="14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5"/>
      <c r="B145" s="6"/>
      <c r="C145" s="14"/>
      <c r="D145" s="14"/>
    </row>
    <row r="146" spans="1:4" ht="14.25" thickBot="1" x14ac:dyDescent="0.25">
      <c r="A146" s="5"/>
      <c r="B146" s="6"/>
      <c r="C146" s="14"/>
      <c r="D146" s="14"/>
    </row>
    <row r="147" spans="1:4" ht="15" thickBot="1" x14ac:dyDescent="0.25">
      <c r="A147" s="86"/>
      <c r="B147" s="87"/>
      <c r="C147" s="88" t="s">
        <v>106</v>
      </c>
      <c r="D147" s="89"/>
    </row>
    <row r="148" spans="1:4" ht="13.5" x14ac:dyDescent="0.2">
      <c r="A148" s="5"/>
      <c r="B148" s="6"/>
      <c r="C148" s="14"/>
      <c r="D148" s="14"/>
    </row>
    <row r="149" spans="1:4" ht="13.5" x14ac:dyDescent="0.2">
      <c r="A149" s="5"/>
      <c r="B149" s="6"/>
      <c r="C149" s="14"/>
      <c r="D149" s="14"/>
    </row>
    <row r="150" spans="1:4" ht="13.5" x14ac:dyDescent="0.2">
      <c r="A150" s="5"/>
      <c r="B150" s="6"/>
      <c r="C150" s="14"/>
      <c r="D150" s="14"/>
    </row>
    <row r="151" spans="1:4" ht="13.5" x14ac:dyDescent="0.2">
      <c r="A151" s="5"/>
      <c r="B151" s="6"/>
      <c r="C151" s="14"/>
      <c r="D151" s="14"/>
    </row>
    <row r="152" spans="1:4" ht="13.5" x14ac:dyDescent="0.2">
      <c r="A152" s="5"/>
      <c r="B152" s="6"/>
      <c r="C152" s="14"/>
      <c r="D152" s="14"/>
    </row>
    <row r="153" spans="1:4" ht="13.5" x14ac:dyDescent="0.2">
      <c r="A153" s="5"/>
      <c r="B153" s="6"/>
      <c r="C153" s="14"/>
      <c r="D153" s="14"/>
    </row>
    <row r="154" spans="1:4" ht="13.5" x14ac:dyDescent="0.2">
      <c r="A154" s="5"/>
      <c r="B154" s="6"/>
      <c r="C154" s="14"/>
      <c r="D154" s="14"/>
    </row>
    <row r="155" spans="1:4" ht="13.5" x14ac:dyDescent="0.2">
      <c r="A155" s="5"/>
      <c r="B155" s="6"/>
      <c r="C155" s="14"/>
      <c r="D155" s="14"/>
    </row>
    <row r="156" spans="1:4" ht="13.5" x14ac:dyDescent="0.2">
      <c r="A156" s="5"/>
      <c r="B156" s="6"/>
      <c r="C156" s="14"/>
      <c r="D156" s="14"/>
    </row>
    <row r="157" spans="1:4" ht="13.5" x14ac:dyDescent="0.2">
      <c r="A157" s="5"/>
      <c r="B157" s="6"/>
      <c r="C157" s="14"/>
      <c r="D157" s="14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5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3.5" x14ac:dyDescent="0.2">
      <c r="A166" s="6"/>
      <c r="B166" s="6"/>
      <c r="C166" s="14"/>
      <c r="D166" s="14"/>
    </row>
    <row r="167" spans="1:4" ht="13.5" x14ac:dyDescent="0.2">
      <c r="A167" s="6"/>
      <c r="B167" s="6"/>
      <c r="C167" s="14"/>
      <c r="D167" s="14"/>
    </row>
    <row r="168" spans="1:4" ht="13.5" x14ac:dyDescent="0.2">
      <c r="A168" s="79"/>
      <c r="B168" s="79"/>
      <c r="C168" s="80"/>
      <c r="D168" s="80"/>
    </row>
    <row r="169" spans="1:4" ht="13.5" x14ac:dyDescent="0.2">
      <c r="A169" s="79"/>
      <c r="B169" s="79"/>
      <c r="C169" s="80"/>
      <c r="D169" s="80"/>
    </row>
    <row r="170" spans="1:4" ht="14.25" thickBot="1" x14ac:dyDescent="0.25">
      <c r="A170" s="7"/>
      <c r="B170" s="7"/>
      <c r="C170" s="15"/>
      <c r="D170" s="15"/>
    </row>
    <row r="171" spans="1:4" ht="14.25" thickBot="1" x14ac:dyDescent="0.25">
      <c r="A171" s="76" t="s">
        <v>22</v>
      </c>
      <c r="B171" s="76">
        <f>SUM(B93:B170)</f>
        <v>28</v>
      </c>
      <c r="C171" s="85" t="s">
        <v>38</v>
      </c>
      <c r="D171" s="77"/>
    </row>
    <row r="172" spans="1:4" ht="15" thickBot="1" x14ac:dyDescent="0.35">
      <c r="A172" s="78"/>
      <c r="B172" s="78"/>
      <c r="C172" s="78"/>
      <c r="D172" s="78"/>
    </row>
    <row r="173" spans="1:4" ht="18.75" thickBot="1" x14ac:dyDescent="0.25">
      <c r="A173" s="71" t="s">
        <v>14</v>
      </c>
      <c r="B173" s="72">
        <v>4</v>
      </c>
      <c r="C173" s="73" t="s">
        <v>23</v>
      </c>
      <c r="D173" s="82">
        <v>42541</v>
      </c>
    </row>
    <row r="174" spans="1:4" ht="27.75" thickBot="1" x14ac:dyDescent="0.25">
      <c r="A174" s="74" t="s">
        <v>3</v>
      </c>
      <c r="B174" s="75" t="s">
        <v>15</v>
      </c>
      <c r="C174" s="74" t="s">
        <v>7</v>
      </c>
      <c r="D174" s="74" t="s">
        <v>13</v>
      </c>
    </row>
    <row r="175" spans="1:4" ht="13.5" x14ac:dyDescent="0.2">
      <c r="A175" s="9"/>
      <c r="B175" s="8"/>
      <c r="C175" s="13"/>
      <c r="D175" s="13"/>
    </row>
    <row r="176" spans="1:4" ht="13.5" x14ac:dyDescent="0.2">
      <c r="A176" s="5"/>
      <c r="B176" s="6"/>
      <c r="C176" s="14"/>
      <c r="D176" s="14"/>
    </row>
    <row r="177" spans="1:4" ht="13.5" x14ac:dyDescent="0.2">
      <c r="A177" s="5"/>
      <c r="B177" s="6"/>
      <c r="C177" s="14"/>
      <c r="D177" s="14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5"/>
      <c r="B183" s="6"/>
      <c r="C183" s="14"/>
      <c r="D183" s="14"/>
    </row>
    <row r="184" spans="1:4" ht="13.5" x14ac:dyDescent="0.2">
      <c r="A184" s="6"/>
      <c r="B184" s="6"/>
      <c r="C184" s="14"/>
      <c r="D184" s="14"/>
    </row>
    <row r="185" spans="1:4" ht="13.5" x14ac:dyDescent="0.2">
      <c r="A185" s="6"/>
      <c r="B185" s="6"/>
      <c r="C185" s="14"/>
      <c r="D185" s="14"/>
    </row>
    <row r="186" spans="1:4" ht="13.5" x14ac:dyDescent="0.2">
      <c r="A186" s="6"/>
      <c r="B186" s="6"/>
      <c r="C186" s="14"/>
      <c r="D186" s="14"/>
    </row>
    <row r="187" spans="1:4" ht="13.5" x14ac:dyDescent="0.2">
      <c r="A187" s="79"/>
      <c r="B187" s="79"/>
      <c r="C187" s="80"/>
      <c r="D187" s="80"/>
    </row>
    <row r="188" spans="1:4" ht="13.5" x14ac:dyDescent="0.2">
      <c r="A188" s="79"/>
      <c r="B188" s="79"/>
      <c r="C188" s="80"/>
      <c r="D188" s="80"/>
    </row>
    <row r="189" spans="1:4" ht="14.25" thickBot="1" x14ac:dyDescent="0.25">
      <c r="A189" s="7"/>
      <c r="B189" s="7"/>
      <c r="C189" s="15"/>
      <c r="D189" s="15"/>
    </row>
    <row r="190" spans="1:4" ht="14.25" thickBot="1" x14ac:dyDescent="0.25">
      <c r="A190" s="76" t="s">
        <v>22</v>
      </c>
      <c r="B190" s="76">
        <f>SUM(B175:B189)</f>
        <v>0</v>
      </c>
      <c r="C190" s="85" t="s">
        <v>38</v>
      </c>
      <c r="D190" s="77"/>
    </row>
    <row r="191" spans="1:4" ht="15" thickBot="1" x14ac:dyDescent="0.35">
      <c r="A191" s="78"/>
      <c r="B191" s="78"/>
      <c r="C191" s="78"/>
      <c r="D191" s="78"/>
    </row>
    <row r="192" spans="1:4" ht="18.75" thickBot="1" x14ac:dyDescent="0.25">
      <c r="A192" s="71" t="s">
        <v>14</v>
      </c>
      <c r="B192" s="72">
        <v>5</v>
      </c>
      <c r="C192" s="73" t="s">
        <v>23</v>
      </c>
      <c r="D192" s="82">
        <v>42548</v>
      </c>
    </row>
    <row r="193" spans="1:4" ht="27.75" thickBot="1" x14ac:dyDescent="0.25">
      <c r="A193" s="74" t="s">
        <v>3</v>
      </c>
      <c r="B193" s="75" t="s">
        <v>15</v>
      </c>
      <c r="C193" s="74" t="s">
        <v>7</v>
      </c>
      <c r="D193" s="74" t="s">
        <v>13</v>
      </c>
    </row>
    <row r="194" spans="1:4" ht="13.5" x14ac:dyDescent="0.2">
      <c r="A194" s="9"/>
      <c r="B194" s="8"/>
      <c r="C194" s="13"/>
      <c r="D194" s="13"/>
    </row>
    <row r="195" spans="1:4" ht="13.5" x14ac:dyDescent="0.2">
      <c r="A195" s="5"/>
      <c r="B195" s="6"/>
      <c r="C195" s="14"/>
      <c r="D195" s="14"/>
    </row>
    <row r="196" spans="1:4" ht="13.5" x14ac:dyDescent="0.2">
      <c r="A196" s="5"/>
      <c r="B196" s="6"/>
      <c r="C196" s="14"/>
      <c r="D196" s="14"/>
    </row>
    <row r="197" spans="1:4" ht="13.5" x14ac:dyDescent="0.2">
      <c r="A197" s="5"/>
      <c r="B197" s="6"/>
      <c r="C197" s="14"/>
      <c r="D197" s="14"/>
    </row>
    <row r="198" spans="1:4" ht="13.5" x14ac:dyDescent="0.2">
      <c r="A198" s="5"/>
      <c r="B198" s="6"/>
      <c r="C198" s="14"/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6"/>
      <c r="B203" s="6"/>
      <c r="C203" s="14"/>
      <c r="D203" s="14"/>
    </row>
    <row r="204" spans="1:4" ht="13.5" x14ac:dyDescent="0.2">
      <c r="A204" s="6"/>
      <c r="B204" s="6"/>
      <c r="C204" s="14"/>
      <c r="D204" s="14"/>
    </row>
    <row r="205" spans="1:4" ht="13.5" x14ac:dyDescent="0.2">
      <c r="A205" s="6"/>
      <c r="B205" s="6"/>
      <c r="C205" s="14"/>
      <c r="D205" s="14"/>
    </row>
    <row r="206" spans="1:4" ht="13.5" x14ac:dyDescent="0.2">
      <c r="A206" s="79"/>
      <c r="B206" s="79"/>
      <c r="C206" s="80"/>
      <c r="D206" s="80"/>
    </row>
    <row r="207" spans="1:4" ht="13.5" x14ac:dyDescent="0.2">
      <c r="A207" s="79"/>
      <c r="B207" s="79"/>
      <c r="C207" s="80"/>
      <c r="D207" s="80"/>
    </row>
    <row r="208" spans="1:4" ht="14.25" thickBot="1" x14ac:dyDescent="0.25">
      <c r="A208" s="7"/>
      <c r="B208" s="7"/>
      <c r="C208" s="15"/>
      <c r="D208" s="15"/>
    </row>
    <row r="209" spans="1:4" ht="14.25" thickBot="1" x14ac:dyDescent="0.25">
      <c r="A209" s="76" t="s">
        <v>22</v>
      </c>
      <c r="B209" s="76">
        <f>SUM(B194:B208)</f>
        <v>0</v>
      </c>
      <c r="C209" s="85" t="s">
        <v>38</v>
      </c>
      <c r="D209" s="77"/>
    </row>
    <row r="210" spans="1:4" ht="14.25" x14ac:dyDescent="0.3">
      <c r="A210" s="78"/>
      <c r="B210" s="78"/>
      <c r="C210" s="78"/>
      <c r="D210" s="78"/>
    </row>
    <row r="211" spans="1:4" x14ac:dyDescent="0.2">
      <c r="A211" s="84" t="s">
        <v>29</v>
      </c>
    </row>
  </sheetData>
  <dataValidations count="4">
    <dataValidation type="whole" errorStyle="warning" operator="greaterThan" allowBlank="1" showInputMessage="1" showErrorMessage="1" errorTitle="Durée en 1/3 de période" error="Le nombre doit être de type entier" sqref="B194:B208 B3:B39 B44:B88 B175:B189 F49:F53 B93:B17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40 B89 B171 B190 B209">
      <formula1>0</formula1>
      <formula2>NbPerWeek * NbQuartPer</formula2>
    </dataValidation>
    <dataValidation type="list" allowBlank="1" showInputMessage="1" showErrorMessage="1" sqref="A194:A208 A3:A39 A44:A88 A175:A189 A93:A170">
      <formula1>lstTasks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54:F88">
      <formula1>0</formula1>
      <formula2>DureePeriode-1</formula2>
    </dataValidation>
  </dataValidations>
  <hyperlinks>
    <hyperlink ref="D4" r:id="rId1"/>
    <hyperlink ref="D10" r:id="rId2"/>
    <hyperlink ref="D17" r:id="rId3"/>
    <hyperlink ref="D19" r:id="rId4"/>
    <hyperlink ref="D20" r:id="rId5"/>
    <hyperlink ref="D15" r:id="rId6"/>
  </hyperlinks>
  <printOptions horizontalCentered="1" verticalCentered="1"/>
  <pageMargins left="0.25" right="0.25" top="0.75" bottom="0.75" header="0.3" footer="0.3"/>
  <pageSetup paperSize="9" scale="62" fitToHeight="0" orientation="portrait" cellComments="atEnd" r:id="rId7"/>
  <headerFooter>
    <oddHeader>&amp;L&amp;"ETML L,Normal"&amp;24ETML</oddHeader>
    <oddFooter>&amp;C&amp;F&amp;L&amp;D</oddFooter>
  </headerFooter>
  <drawing r:id="rId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carbonarch@etml.educanet2.ch</dc:creator>
  <cp:lastModifiedBy>ETML</cp:lastModifiedBy>
  <cp:lastPrinted>2013-06-19T08:16:54Z</cp:lastPrinted>
  <dcterms:created xsi:type="dcterms:W3CDTF">1996-10-21T11:03:58Z</dcterms:created>
  <dcterms:modified xsi:type="dcterms:W3CDTF">2016-06-14T14:30:16Z</dcterms:modified>
  <cp:contentStatus>Version 8.0</cp:contentStatus>
</cp:coreProperties>
</file>